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D:\working\waccache\MI1PEPF0000027D\EXCELCNV\0ebd1a7b-1def-4948-9f55-b2906ec49557\"/>
    </mc:Choice>
  </mc:AlternateContent>
  <xr:revisionPtr revIDLastSave="0" documentId="8_{7367095F-FD0C-4ADE-A89C-A37D1FA891A7}" xr6:coauthVersionLast="47" xr6:coauthVersionMax="47" xr10:uidLastSave="{00000000-0000-0000-0000-000000000000}"/>
  <bookViews>
    <workbookView xWindow="-60" yWindow="-60" windowWidth="15480" windowHeight="11640" firstSheet="3" activeTab="3" xr2:uid="{00000000-000D-0000-FFFF-FFFF00000000}"/>
  </bookViews>
  <sheets>
    <sheet name="Team Tecnici - individuali" sheetId="2" state="hidden" r:id="rId1"/>
    <sheet name="Per budget " sheetId="4" r:id="rId2"/>
    <sheet name="Assurance (+Monti e Loberini)" sheetId="7" r:id="rId3"/>
    <sheet name="On demand " sheetId="8" r:id="rId4"/>
    <sheet name="Formazione interna " sheetId="6" r:id="rId5"/>
    <sheet name="Team " sheetId="1" r:id="rId6"/>
    <sheet name="OLD Team Tecnici - integrazione" sheetId="3" state="hidden" r:id="rId7"/>
    <sheet name="Formazione finanziata " sheetId="9" r:id="rId8"/>
    <sheet name="Storico Certificazioni " sheetId="5" r:id="rId9"/>
  </sheets>
  <definedNames>
    <definedName name="_xlnm._FilterDatabase" localSheetId="1" hidden="1">'Per budget '!$A$1:$JM$1</definedName>
    <definedName name="_xlnm._FilterDatabase" localSheetId="8" hidden="1">'Storico Certificazioni '!$A$1:$V$1</definedName>
    <definedName name="_xlnm._FilterDatabase" localSheetId="5" hidden="1">'Team '!$A$1:$AC$67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7" l="1"/>
  <c r="N28" i="4"/>
  <c r="G10" i="7"/>
  <c r="G8" i="7"/>
  <c r="G7" i="7"/>
  <c r="G2" i="7"/>
  <c r="G4" i="7"/>
  <c r="G3" i="7"/>
  <c r="H5" i="7"/>
  <c r="H13" i="7" s="1"/>
  <c r="N12" i="4"/>
  <c r="N29" i="4" s="1"/>
  <c r="K2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Valeria Perego</author>
  </authors>
  <commentList>
    <comment ref="G1" authorId="0" shapeId="0" xr:uid="{C1ABE98D-7B9C-4B66-B816-C863EC9656A5}">
      <text>
        <r>
          <rPr>
            <sz val="11"/>
            <color theme="1"/>
            <rFont val="Calibri"/>
            <family val="2"/>
            <scheme val="minor"/>
          </rPr>
          <t>0 = no conoscenza 
1 = base 
2 = medio
3 = avanzato</t>
        </r>
      </text>
    </comment>
    <comment ref="H1" authorId="0" shapeId="0" xr:uid="{F2332FD5-9D9B-4C43-965F-EB138072D0B4}">
      <text>
        <r>
          <rPr>
            <sz val="11"/>
            <color theme="1"/>
            <rFont val="Calibri"/>
            <family val="2"/>
            <scheme val="minor"/>
          </rPr>
          <t>0 = no conoscenza 
1 = base 
2 = medio
3 = avanzato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tc={1E981448-D5BD-4479-9B61-74380D30EF20}</author>
    <author>tc={AC78639C-2712-4B6F-8314-D79B9A91BD8B}</author>
    <author>tc={8029EE0B-8B79-4A0E-85F9-A6B30CD549AA}</author>
    <author>tc={A80FFB26-7694-43B4-BBC5-8FFED3228ABB}</author>
    <author>tc={33A49D79-8F02-444C-BE3C-450478AEBA10}</author>
    <author>tc={DCD98D0C-1C7B-4D63-9831-D4859ED12A2F}</author>
  </authors>
  <commentList>
    <comment ref="D15" authorId="0" shapeId="0" xr:uid="{1E981448-D5BD-4479-9B61-74380D30EF20}">
      <text>
        <t>[Threaded comment]
Your version of Excel allows you to read this threaded comment; however, any edits to it will get removed if the file is opened in a newer version of Excel. Learn more: https://go.microsoft.com/fwlink/?linkid=870924
Comment:
    attendere</t>
      </text>
    </comment>
    <comment ref="I16" authorId="1" shapeId="0" xr:uid="{AC78639C-2712-4B6F-8314-D79B9A91BD8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@Valeria Perego hanno identificato loro il corso?</t>
      </text>
    </comment>
    <comment ref="B23" authorId="2" shapeId="0" xr:uid="{8029EE0B-8B79-4A0E-85F9-A6B30CD549AA}">
      <text>
        <t>[Threaded comment]
Your version of Excel allows you to read this threaded comment; however, any edits to it will get removed if the file is opened in a newer version of Excel. Learn more: https://go.microsoft.com/fwlink/?linkid=870924
Comment:
    vuole fare kubernetes?</t>
      </text>
    </comment>
    <comment ref="D23" authorId="3" shapeId="0" xr:uid="{A80FFB26-7694-43B4-BBC5-8FFED3228AB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@Valeria Perego chi altri di trescore vuole fare ccna?</t>
      </text>
    </comment>
    <comment ref="A36" authorId="4" shapeId="0" xr:uid="{33A49D79-8F02-444C-BE3C-450478AEBA1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@Eva Maria Grimaldi</t>
      </text>
    </comment>
    <comment ref="A37" authorId="5" shapeId="0" xr:uid="{DCD98D0C-1C7B-4D63-9831-D4859ED12A2F}">
      <text>
        <t>[Threaded comment]
Your version of Excel allows you to read this threaded comment; however, any edits to it will get removed if the file is opened in a newer version of Excel. Learn more: https://go.microsoft.com/fwlink/?linkid=870924
Comment:
    @Eva Maria Grimaldi</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Valeria Perego</author>
    <author>tc={9B5DAB4A-E9A4-4102-BA0D-7C94D933716C}</author>
  </authors>
  <commentList>
    <comment ref="E3" authorId="0" shapeId="0" xr:uid="{7C3E1C9F-2C05-480B-A8DF-095A3B860CC5}">
      <text>
        <r>
          <rPr>
            <sz val="11"/>
            <color theme="1"/>
            <rFont val="Calibri"/>
            <family val="2"/>
            <scheme val="minor"/>
          </rPr>
          <t>Percorso CCNA Intensivo, pensato principalmente per profili che hanno già esperienza nel networking e desiderano consolidare rapidamente le competenze;</t>
        </r>
      </text>
    </comment>
    <comment ref="E4" authorId="0" shapeId="0" xr:uid="{C9910222-493B-403A-80DE-F97AA6B1B5DF}">
      <text>
        <r>
          <rPr>
            <sz val="11"/>
            <color theme="1"/>
            <rFont val="Calibri"/>
            <family val="2"/>
            <scheme val="minor"/>
          </rPr>
          <t>Percorso CCNA Standard/Academy, più graduale e adatto anche a partecipanti con un livello introduttivo o intermedio, disponibile anche in fascia serale.</t>
        </r>
      </text>
    </comment>
    <comment ref="A8" authorId="1" shapeId="0" xr:uid="{9B5DAB4A-E9A4-4102-BA0D-7C94D933716C}">
      <text>
        <t>[Threaded comment]
Your version of Excel allows you to read this threaded comment; however, any edits to it will get removed if the file is opened in a newer version of Excel. Learn more: https://go.microsoft.com/fwlink/?linkid=870924
Comment:
    come dividere i partecipanti</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Valeria Perego</author>
  </authors>
  <commentList>
    <comment ref="S1" authorId="0" shapeId="0" xr:uid="{5EFA1CE8-E7D3-4001-83E5-E2C5221AF313}">
      <text>
        <r>
          <rPr>
            <sz val="11"/>
            <color theme="1"/>
            <rFont val="Calibri"/>
            <family val="2"/>
            <scheme val="minor"/>
          </rPr>
          <t>0 = no conoscenza 
1 = base 
2 = medio
3 = avanzato</t>
        </r>
      </text>
    </comment>
    <comment ref="T1" authorId="0" shapeId="0" xr:uid="{79CF95DD-5EE2-4CD6-A39D-E8E62EEEFC7C}">
      <text>
        <r>
          <rPr>
            <sz val="11"/>
            <color theme="1"/>
            <rFont val="Calibri"/>
            <family val="2"/>
            <scheme val="minor"/>
          </rPr>
          <t>0 = no conoscenza 
1 = base 
2 = medio
3 = avanzato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Valeria Perego</author>
  </authors>
  <commentList>
    <comment ref="E1" authorId="0" shapeId="0" xr:uid="{F1CABF5B-309A-4588-A74B-179F346FC198}">
      <text>
        <r>
          <rPr>
            <sz val="11"/>
            <color theme="1"/>
            <rFont val="Calibri"/>
            <family val="2"/>
            <scheme val="minor"/>
          </rPr>
          <t>0 = no conoscenza 
1 = base 
2 = medio
3 = avanzato</t>
        </r>
      </text>
    </comment>
    <comment ref="F1" authorId="0" shapeId="0" xr:uid="{7C43F976-7838-4B36-AB0D-CB3FEDB56449}">
      <text>
        <r>
          <rPr>
            <sz val="11"/>
            <color theme="1"/>
            <rFont val="Calibri"/>
            <family val="2"/>
            <scheme val="minor"/>
          </rPr>
          <t>0 = no conoscenza 
1 = base 
2 = medio
3 = avanzato</t>
        </r>
      </text>
    </comment>
  </commentList>
</comments>
</file>

<file path=xl/sharedStrings.xml><?xml version="1.0" encoding="utf-8"?>
<sst xmlns="http://schemas.openxmlformats.org/spreadsheetml/2006/main" count="1909" uniqueCount="861">
  <si>
    <t>STATO</t>
  </si>
  <si>
    <t xml:space="preserve">TEAM </t>
  </si>
  <si>
    <t>NOME E COGNOME</t>
  </si>
  <si>
    <t>AREA</t>
  </si>
  <si>
    <t xml:space="preserve">MOTIVAZIONE </t>
  </si>
  <si>
    <t>PRIORITA'</t>
  </si>
  <si>
    <t xml:space="preserve">LIVELLO AS IS </t>
  </si>
  <si>
    <t>LIVELLO TO BE</t>
  </si>
  <si>
    <t>INTERNO/
ESTERNO</t>
  </si>
  <si>
    <t>FORNITORE</t>
  </si>
  <si>
    <t>LINK AL CORSO</t>
  </si>
  <si>
    <t>MOTIVAZIONE</t>
  </si>
  <si>
    <t>H TOTALI</t>
  </si>
  <si>
    <t>DATA INIZIO</t>
  </si>
  <si>
    <t>DATA FINE</t>
  </si>
  <si>
    <t>COSTO</t>
  </si>
  <si>
    <t>NOTE</t>
  </si>
  <si>
    <t>AREA FORMAZIONE</t>
  </si>
  <si>
    <t>CORSO</t>
  </si>
  <si>
    <t>OBIETTIVO FORMATIVO</t>
  </si>
  <si>
    <t>LIVELLO AS IS</t>
  </si>
  <si>
    <t xml:space="preserve">CLOUD </t>
  </si>
  <si>
    <t>Ivan Lago</t>
  </si>
  <si>
    <t xml:space="preserve">Kubernetes  
</t>
  </si>
  <si>
    <t xml:space="preserve">Certified Kubernetes Administrator (CKA) 
</t>
  </si>
  <si>
    <t xml:space="preserve">Affinare e certificare le competenze già presenti; Kubernetes piattaforma OpensSource utilizzata su tutti gli applicativi. </t>
  </si>
  <si>
    <t>Link corso: https://www.vegatraining.eu/corsi-kubernetes/corso-kubernetes-administrator/ </t>
  </si>
  <si>
    <t xml:space="preserve">Vega Training </t>
  </si>
  <si>
    <t>Durata Estensiva 30 Ore
Durata Intensiva 4gg</t>
  </si>
  <si>
    <t xml:space="preserve">diverse sessioni </t>
  </si>
  <si>
    <t>/</t>
  </si>
  <si>
    <t xml:space="preserve">contattare fornitore per avere info </t>
  </si>
  <si>
    <t>Fabio Gallo</t>
  </si>
  <si>
    <t xml:space="preserve">Esame </t>
  </si>
  <si>
    <t>Link presentazione esame: https://training.linuxfoundation.org/certification/certified-kubernetes-administrator-cka/ </t>
  </si>
  <si>
    <t xml:space="preserve">The Linux Fiundation </t>
  </si>
  <si>
    <t>diverse sessioni</t>
  </si>
  <si>
    <t>Andrea Maldotti</t>
  </si>
  <si>
    <t>Linux Foundation Certified System Administrator (LFCS) </t>
  </si>
  <si>
    <t>esterno</t>
  </si>
  <si>
    <t xml:space="preserve">The Linux Foundation </t>
  </si>
  <si>
    <t xml:space="preserve">Link corso: https://training.linuxfoundation.org/training/linux-system-administration-essentials-lfs207/ 
Link presentazione esame: https://training.linuxfoundation.org/certification/linux-foundation-certified-sysadmin-lfcs/ 
</t>
  </si>
  <si>
    <t>Costo ad personam: 540€ (625$) </t>
  </si>
  <si>
    <t xml:space="preserve">Andrea Maldotti </t>
  </si>
  <si>
    <t>Linux</t>
  </si>
  <si>
    <t xml:space="preserve">Linux Foundation Certified System Administrator (LFCS) 
</t>
  </si>
  <si>
    <t>Strutturare e accrescere le competenze</t>
  </si>
  <si>
    <t>https://training.linuxfoundation.org/training/linux-system-administration-essentials-lfs207/</t>
  </si>
  <si>
    <t xml:space="preserve">Licenza </t>
  </si>
  <si>
    <t>540€ (625$)</t>
  </si>
  <si>
    <t xml:space="preserve">Licenza per piattaforma &gt; come con Dei Cas dare noi le tempistiche </t>
  </si>
  <si>
    <t xml:space="preserve">Filippo Cecchini </t>
  </si>
  <si>
    <t>Filippo Cecchini</t>
  </si>
  <si>
    <t xml:space="preserve">https://training.linuxfoundation.org/certification/linux-foundation-certified-sysadmin-lfcs/ </t>
  </si>
  <si>
    <t xml:space="preserve">Matteo Redaelli </t>
  </si>
  <si>
    <t xml:space="preserve"> 
CCNA 200-301 (Routing&amp;Switching v.7) </t>
  </si>
  <si>
    <t>eForHum
VegaTraining</t>
  </si>
  <si>
    <t xml:space="preserve">eForhum 
eForhum </t>
  </si>
  <si>
    <t>Costo ad personam N/D</t>
  </si>
  <si>
    <t>Routing&amp;Switching</t>
  </si>
  <si>
    <t>Accrescere competenze per aumentare autonomia in ambito networking</t>
  </si>
  <si>
    <t>Corso Cisco CCNA 200‑301 con Laboratori Reali | eForHum</t>
  </si>
  <si>
    <t>EForhum</t>
  </si>
  <si>
    <t xml:space="preserve">60ca </t>
  </si>
  <si>
    <t>ALL</t>
  </si>
  <si>
    <t>VMWARE</t>
  </si>
  <si>
    <t>STANDBY</t>
  </si>
  <si>
    <t xml:space="preserve">Corso Cisco CCNA </t>
  </si>
  <si>
    <t>Corso Cisco CCNA - Implementing and Administering Cisco Solutions - Vega Training</t>
  </si>
  <si>
    <t>Cisco</t>
  </si>
  <si>
    <t>in corso</t>
  </si>
  <si>
    <t>TLC</t>
  </si>
  <si>
    <t>Gabriele Turra</t>
  </si>
  <si>
    <t>CISCO CCNP ENARSI</t>
  </si>
  <si>
    <t xml:space="preserve">EForHum
</t>
  </si>
  <si>
    <t>esame fissato per 29 aprile 26</t>
  </si>
  <si>
    <t>STANDBY PER ACCORDO CON PARTNER</t>
  </si>
  <si>
    <t>Alessandro Leva</t>
  </si>
  <si>
    <t xml:space="preserve">Definire con Fabio i partecipanti </t>
  </si>
  <si>
    <t xml:space="preserve">Sistema BMS </t>
  </si>
  <si>
    <t xml:space="preserve">Corso ad Hoc con nostro fornitore </t>
  </si>
  <si>
    <t xml:space="preserve">Acquisire competenze sul sistema di monitoraggio dell'infrastruttura DC, competenze che attualmente non abbiamo internamente </t>
  </si>
  <si>
    <t>da concordare ad hoc</t>
  </si>
  <si>
    <t>Lorenzo Angelucci</t>
  </si>
  <si>
    <t xml:space="preserve">TLC </t>
  </si>
  <si>
    <t>Gabriele Turra
Alessandro Leva
Lorenzo Angelucci</t>
  </si>
  <si>
    <t xml:space="preserve">CISCO CCNP ENARSI
</t>
  </si>
  <si>
    <t>Networkin</t>
  </si>
  <si>
    <t>Chiusura modulo CCNA</t>
  </si>
  <si>
    <t xml:space="preserve">Corso finito, esame fissato per 29/04/2026
</t>
  </si>
  <si>
    <t xml:space="preserve">Fabrizio Missimi </t>
  </si>
  <si>
    <t xml:space="preserve">Studia Kubernetes in autonomia </t>
  </si>
  <si>
    <t xml:space="preserve">capire cosa possiamo fare per lui! </t>
  </si>
  <si>
    <t>Scripting</t>
  </si>
  <si>
    <t>Scripting: imparare le basi di un linguaggio di programmazione applicato alla rete ci consentirebbe, a tendere, di velocizzare e automatizzare i task quotidiani.</t>
  </si>
  <si>
    <t>Gabriele Turra
Alessandro Leva
Lorenzo Angelucci 
Gabriele Avola</t>
  </si>
  <si>
    <t xml:space="preserve">Scripting
</t>
  </si>
  <si>
    <t xml:space="preserve">da definire </t>
  </si>
  <si>
    <t xml:space="preserve">imparare le basi di un linguaggio di programmazione applicato alla rete consentirebbe al team velocizzare e automatizzare i task quotidiani
</t>
  </si>
  <si>
    <t xml:space="preserve">MS </t>
  </si>
  <si>
    <t xml:space="preserve">Giovanni Pagliaroli </t>
  </si>
  <si>
    <t xml:space="preserve">Project Management </t>
  </si>
  <si>
    <t xml:space="preserve">Lorenzo Angelucci </t>
  </si>
  <si>
    <t xml:space="preserve">Sergio De Biasio </t>
  </si>
  <si>
    <t xml:space="preserve">Microsoft Intune </t>
  </si>
  <si>
    <t>Piattaforma MS365</t>
  </si>
  <si>
    <t>Approfondimento soluzione Intune per l'MDM e la gestione delle applicazioni mobili</t>
  </si>
  <si>
    <t>da definire</t>
  </si>
  <si>
    <t>MS</t>
  </si>
  <si>
    <t>coaching?</t>
  </si>
  <si>
    <t xml:space="preserve">Fabio Chiodi </t>
  </si>
  <si>
    <t xml:space="preserve">Virtualizzazione </t>
  </si>
  <si>
    <t>Hiper-V / VM Ware</t>
  </si>
  <si>
    <t xml:space="preserve">Conoscenza della parte di virtualizzazione </t>
  </si>
  <si>
    <t xml:space="preserve">inserire info da Valentina </t>
  </si>
  <si>
    <t>Andriy Vicktorov</t>
  </si>
  <si>
    <t xml:space="preserve">Luca Pasinetti </t>
  </si>
  <si>
    <t>corso stefano</t>
  </si>
  <si>
    <t>TEAM</t>
  </si>
  <si>
    <t>APPLICATIONS</t>
  </si>
  <si>
    <t>Federico Dei Cas</t>
  </si>
  <si>
    <t>Kubernetes</t>
  </si>
  <si>
    <t>Certified Kubertenes Administrator</t>
  </si>
  <si>
    <t>Approfondimento Kubernetes in ottica di spostamento applicativi sulla piattaforma opensource, progettata per automatizzare il deployment, lo scaling, e la gestione delle applicazioni</t>
  </si>
  <si>
    <t>https://training.linuxfoundation.org/certification/certified-kubernetes-administrator-cka/</t>
  </si>
  <si>
    <t>Linux Foundation - Education</t>
  </si>
  <si>
    <t>IN CORSO</t>
  </si>
  <si>
    <t>Acquistato</t>
  </si>
  <si>
    <t>Francesco Sorbo</t>
  </si>
  <si>
    <t>Frontend</t>
  </si>
  <si>
    <t>Vue</t>
  </si>
  <si>
    <t>Tecnologia focus per la parte di frontend</t>
  </si>
  <si>
    <t>Scuola Vue | Impara Vue.js e iscriviti a un piano gratuito o a pagamento</t>
  </si>
  <si>
    <t>Vue Shool</t>
  </si>
  <si>
    <t>Licenza annuale a $179</t>
  </si>
  <si>
    <t xml:space="preserve">Acquistato </t>
  </si>
  <si>
    <t>DC
CLOUD</t>
  </si>
  <si>
    <t xml:space="preserve">Stefano Vatta
Filippo Cecchini 
Matteo Redaelli 
Andrea Maldotti 
Nessuno TLC </t>
  </si>
  <si>
    <t>Sistema BMS</t>
  </si>
  <si>
    <t>Corso ad Hoc con nostro fornitore</t>
  </si>
  <si>
    <t>Acquisire competenze (attualmente non presenti internamente) sul sistema BMS per monitoraggio dell'infrastruttura DC.</t>
  </si>
  <si>
    <t>Proposta fornitore</t>
  </si>
  <si>
    <t>SLKAutomation s.r.l</t>
  </si>
  <si>
    <t>inserito in RDA, attesa data da Stefano</t>
  </si>
  <si>
    <t>DC</t>
  </si>
  <si>
    <t>Alessandro Leocata</t>
  </si>
  <si>
    <t>Impianti DC</t>
  </si>
  <si>
    <t>Impianti</t>
  </si>
  <si>
    <t>Maggior conoscenza della parte impiantistica anche a livello di backup interno</t>
  </si>
  <si>
    <t>https://www.novanext.it/training/corsi/epi-data-center/epi-data-center-training-framework/cdcp-certified-data-center-professional</t>
  </si>
  <si>
    <t>Novanext Training</t>
  </si>
  <si>
    <t>scegliere una sessione dal 4/5/26 in poi</t>
  </si>
  <si>
    <t xml:space="preserve">attesa lettera </t>
  </si>
  <si>
    <t>PEOPLE</t>
  </si>
  <si>
    <t>Valentina Falcone</t>
  </si>
  <si>
    <t>AI</t>
  </si>
  <si>
    <t>Intelligenza artificiale applicata al mondo HR strategico</t>
  </si>
  <si>
    <t>Area HR organizzativa ( collegamento struttura/costi /performance) + legame HR con Business+ ottimizzazione tempo recruiting</t>
  </si>
  <si>
    <t>Corso Intensivo AI e People Strategy per il futuro delle HR - POLIMI GSoM</t>
  </si>
  <si>
    <t>POLIMI GRADUATE SCHOOL OF MANAGEMENT</t>
  </si>
  <si>
    <t>Percorso di formazione 2026/2027 Fase 2- Corso al Sole 24ORE Business School
(per rafforzare execution + visione), fase 3 GEMA Business School ( avvicinamento HR al business attraverso AI)</t>
  </si>
  <si>
    <t>Roberta Catignano</t>
  </si>
  <si>
    <t>Employer branding</t>
  </si>
  <si>
    <t>Visibilità anche in territori dove il nostro nome è meno conosciuto, favorire il referral candidati e quindi anche clienti, posizionamento anche in ottica M&amp;A</t>
  </si>
  <si>
    <t>Corso Employer Branding su LinkedIn</t>
  </si>
  <si>
    <t>Linkedin for Business</t>
  </si>
  <si>
    <t>contattare fornitore per avere info</t>
  </si>
  <si>
    <t>MODULO10-Employer-Branding-LinkedIn-2026.pdf</t>
  </si>
  <si>
    <t xml:space="preserve">Attesa risposta Robi </t>
  </si>
  <si>
    <t>Valeria Perego</t>
  </si>
  <si>
    <t>Formazione</t>
  </si>
  <si>
    <t>Corso Strategic Learning &amp; Development</t>
  </si>
  <si>
    <t>Apprendere le modalità di erogazione di formazione interna, pianficare e progettare</t>
  </si>
  <si>
    <t>https://www.24orebs.com/formazione/corsi-executive/corso-strategic-learning-development?_gl=1*1j5d613*_up*MQ..*_gs*MQ..&amp;gclid=EAIaIQobChMI1u_ty6a7kwMV9KODBx3U8g8VEAAYAiAAEgJNFfD_BwE</t>
  </si>
  <si>
    <t>Sole 24h business schoool</t>
  </si>
  <si>
    <t>prossima edizione 2027</t>
  </si>
  <si>
    <t>Brochure</t>
  </si>
  <si>
    <t xml:space="preserve">No altre edizioni nel 2026
costo 2000 </t>
  </si>
  <si>
    <t>LEAD GENERATION</t>
  </si>
  <si>
    <t>Marta Savoldi</t>
  </si>
  <si>
    <t>Corso AI Marketing</t>
  </si>
  <si>
    <t>Comprendere l'utilizzo dell'AI nel marketing e comprendere come poterlo impiegare correttamente nelle attività lavorative quotidiane</t>
  </si>
  <si>
    <t>Corso sull'Intelligenza artificiale di Ninja per fare Marketing con l' AI</t>
  </si>
  <si>
    <t>Ninja Academy</t>
  </si>
  <si>
    <t>Daniele Paleari</t>
  </si>
  <si>
    <t>Visual Design</t>
  </si>
  <si>
    <t>Corso in Brand Communication</t>
  </si>
  <si>
    <t>Potenziare le competenze di visual design del team per sviluppare maggiore autonomia nella creazione e gestione dell’identità visiva del brand, migliorando la comunicazione tramite immagini e video e garantendo coerenza su tutti i canali.</t>
  </si>
  <si>
    <t>Corso in Brand Communication diurno | NABA</t>
  </si>
  <si>
    <t>Naba</t>
  </si>
  <si>
    <t>attesa edizione settembre</t>
  </si>
  <si>
    <t>Luca Fadda</t>
  </si>
  <si>
    <t>Social: campagna advertising (attività paid)</t>
  </si>
  <si>
    <t>Corso Digital Marketing: strategia, advertising &amp; AI</t>
  </si>
  <si>
    <t>Sviluppare competenze avanzate in Digital Advertising e Social ADV per gestire campagne su Google, Meta e LinkedIn, definendo formati, budget, target e interpretando i risultati.</t>
  </si>
  <si>
    <t>Corso Digital Marketing: strategia, advertising &amp; AI Executive - 24ORE Business School</t>
  </si>
  <si>
    <t>corso non partito per mancanza partecipanti, attesa nuova proposta Luca</t>
  </si>
  <si>
    <t>Marta Savoldi
Luca Fadda</t>
  </si>
  <si>
    <t>LICENZA PIATTAFORMA LEARNN</t>
  </si>
  <si>
    <t xml:space="preserve">1 licenza con email Luca Fadda
1 licenza con mail communication </t>
  </si>
  <si>
    <t>COMPLIANCE</t>
  </si>
  <si>
    <t>Cinzia Dalla Torre</t>
  </si>
  <si>
    <t>MASTER LEGAL AI</t>
  </si>
  <si>
    <t>•Comprendere il funzionamento dell'Intelligenza Artificiale
•Sviluppare competenze di prompting per uso giuridico
• Acquisire padronanza normativa e strumenti di compliance
• Applicare l'AI in contesti reali attraverso simulazioni pratiche</t>
  </si>
  <si>
    <t>Master Legal AI. Competenze, strategie e strumenti di Intelligenza Artificiale per il business legale | Lefebvre Giuffrè</t>
  </si>
  <si>
    <t xml:space="preserve">Lefebvre Giuffrè </t>
  </si>
  <si>
    <t>Brochure 
Listino:
€ 1.500,00 + IVA
Advance Booking:
€ 1.200,00 + IVA entro il 23 settembre 2026
€ 1.350,00 + IVA entro il 2 ottobre 2026
Iscrizioni multiple (due o più partecipanti dello stesso Studio o Azienda)
SCONTO 30% SULLA QUOTA LISTINO DALLA SECONDA ISCRIZIONE IN POI</t>
  </si>
  <si>
    <t>Andrea Doati</t>
  </si>
  <si>
    <t>AI - Cybersecurity</t>
  </si>
  <si>
    <t>Master AI e legal compliance</t>
  </si>
  <si>
    <t>Acquisire una visione completa e aggiornata della normativa in materia di AI (GDPR, AI Act, DORA, NIS2, ISO/IEC 27002:2022) e sviluppare competenze specialistiche per la gestione e il controllo dei rischi aziendali connessi all’utilizzo dell’intelligenza artificiale.</t>
  </si>
  <si>
    <t>24ore Business School</t>
  </si>
  <si>
    <t>SALES</t>
  </si>
  <si>
    <t>Marco Ziglioli</t>
  </si>
  <si>
    <t>Corso AI Agent Survival Kit</t>
  </si>
  <si>
    <t>Sviluppare competenze pratiche e strategiche per comprendere, progettare e integrare agenti intelligenti per riprogettare i flussi aziendali e ridisegnare le competenze.</t>
  </si>
  <si>
    <t>https://www.24orebs.com/formazione/corsi-executive/corso-ai-agent-survival-kit?_gl=1*189dcxo*_up*MQ..*_gs*MQ..&amp;gclid=CjwKCAjwhqfPBhBWEiwAZo196geK3hoEHhhYTiH86-tTWr_Ej2V_5C4ltGmFqWpn7PXA0T4HXGczLRoCbkoQAvD_BwE&amp;gbraid=0AAAAADRpQqSyaq-BEHb1dQUF1VIUj-FB-</t>
  </si>
  <si>
    <t xml:space="preserve">24ore Business School </t>
  </si>
  <si>
    <t>14/10/2026</t>
  </si>
  <si>
    <t xml:space="preserve">Parla Eva con Marco </t>
  </si>
  <si>
    <t>CLOUD</t>
  </si>
  <si>
    <t>Certified Kubernetes Administrator (CKA) + esame</t>
  </si>
  <si>
    <t>Esigenza di rafforzare le competenze interne su Kubernetes, tecnologia già utilizzata nei nostri sistemi.
Attualmente, le competenze operative sono concentrate su una sola risorsa (Ivan: autodidatta e non certificato), configurando di fatto un Single Point of Failure (SPOF). Questa situazione rappresenta un rischio sia in termini di continuità operativa sia di capacità di gestione ed evoluzione della piattaforma.
L’estensione delle competenze tramite formazione e certificazione permetterebbe di:
ridurre il rischio operativo distribuendo il know-how all’interno del team;
migliorare la resilienza e la capacità di gestione degli ambienti Kubernetes;
aumentare l’efficienza nella risoluzione di problemi e nell’implementazione di nuove soluzioni.
Inoltre, il consolidamento delle competenze interne certificate aprirebbe opportunità strategiche, consentendo di valutare l’erogazione di servizi basati su Kubernetes, come un’offerta di Kubernetes as a Service (KaaS), ampliando il portafoglio servizi dell’organizzazione.</t>
  </si>
  <si>
    <t>Link corso: https://www.vegatraining.eu/corsi-kubernetes/corso-kubernetes-administrator/</t>
  </si>
  <si>
    <t>Vega Training</t>
  </si>
  <si>
    <t>Offerta Vega</t>
  </si>
  <si>
    <t>attesa lettera  
Date edizione: 06-07-08-09 luglio 2026 – 09:00 – 17:00;</t>
  </si>
  <si>
    <t>dimissioni</t>
  </si>
  <si>
    <t>Esame</t>
  </si>
  <si>
    <t>Link presentazione esame: https://training.linuxfoundation.org/certification/certified-kubernetes-administrator-cka/</t>
  </si>
  <si>
    <t>The Linux Foundation</t>
  </si>
  <si>
    <t>445 $</t>
  </si>
  <si>
    <t>Linux Foundation Certified System Administrator (LFCS)</t>
  </si>
  <si>
    <t>Esigenza di consolidare e uniformare le competenze sistemistiche Linux all’interno della squadra.
Attualmente, circa il 90% dell’infrastruttura Cloud è basata su sistemi Linux, rendendo questa tecnologia un elemento critico per l’operatività quotidiana. Pur essendo già presenti competenze diffuse, un percorso strutturato e certificato consentirebbe di elevare il livello medio di preparazione del gruppo, garantendo maggiore omogeneità nelle conoscenze e nelle modalità operative.
L’acquisizione di competenze avanzate e certificate permetterebbe di:
migliorare la capacità di gestione e manutenzione dei sistemi Linux;
aumentare la prontezza operativa nella risoluzione di incident e problematiche;
standardizzare le best practice all’interno del gruppo;
ridurre il rischio di errori operativi grazie a una maggiore consapevolezza tecnica.
Il rafforzamento delle competenze Linux rappresenta quindi un investimento strategico, in quanto abilita una gestione più efficiente, resiliente e scalabile dell’infrastruttura su cui si basano i principali servizi aziendali.</t>
  </si>
  <si>
    <t>2. Interested in LFCS? Bundle with a THRIVE-ONE Annual Subscription (includes LFS207 + unlimited access to all e-Learning courses, SkillCreds, and premium Microlearning content) – $625
Licenza per piattaforma &gt; come con Dei Cas dare noi le tempistiche</t>
  </si>
  <si>
    <t xml:space="preserve">fare ordine per tutti i tecnici </t>
  </si>
  <si>
    <t>https://training.linuxfoundation.org/certification/linux-foundation-certified-sysadmin-lfcs/</t>
  </si>
  <si>
    <t>The Linux Fiundation</t>
  </si>
  <si>
    <t>1.Certification exam only – $445</t>
  </si>
  <si>
    <t>Matteo Redaelli</t>
  </si>
  <si>
    <t>CCNA 200-301 (Routing&amp;Switching v.7)</t>
  </si>
  <si>
    <t>Esigenza di ampliare le competenze in ambito networking all’interno del team Cloud.
Attualmente, la risorsa individuata presenta competenze limitate in ambito network. Considerando che le attività sistemistiche sono sempre più interconnesse con componenti di networking (configurazioni di rete, troubleshooting, sicurezza e connettività), il rafforzamento di queste competenze rappresenta un fattore abilitante per una gestione operativa più efficace.
Lo sviluppo di una figura più completa dal punto di vista tecnico contribuisce a rendere il team più flessibile ed efficiente, migliorando la qualità del servizio e la capacità di risposta alle esigenze operative.</t>
  </si>
  <si>
    <t>Chiusura modulo CCNP</t>
  </si>
  <si>
    <t>EforHum</t>
  </si>
  <si>
    <t>Eva Grimaldi</t>
  </si>
  <si>
    <t>ISO 14001</t>
  </si>
  <si>
    <t xml:space="preserve">Acquisire informazioni in merito alla norma e strumenti per l'implementazione del sistema di gestione ambientale. </t>
  </si>
  <si>
    <t>Corso E-learning Sistema Gestione Ambiente UNI ISO 14001</t>
  </si>
  <si>
    <t>Vega Formazione </t>
  </si>
  <si>
    <t>Acquistato &gt; proroghe non più disponibili</t>
  </si>
  <si>
    <t>Sofia Manzoni</t>
  </si>
  <si>
    <t xml:space="preserve">60 gg da atticazione E-Learning </t>
  </si>
  <si>
    <t>Stefano Vatta
Giovanni Pagliaroli 
Sergio De Biasiio</t>
  </si>
  <si>
    <t xml:space="preserve">Percorso con Rossana su Leadership/Gestione del personale </t>
  </si>
  <si>
    <t xml:space="preserve">decidere modalità Coaching/peer coaching/formazione </t>
  </si>
  <si>
    <t xml:space="preserve">Sara Gusmini 
Marta Savoldi </t>
  </si>
  <si>
    <t>Corso di perfezionamento in
Sales Management</t>
  </si>
  <si>
    <t>CP_Sales Management</t>
  </si>
  <si>
    <t>Dipartimento di Economia e
Management - Università di Pisa</t>
  </si>
  <si>
    <t>https://sales.ec.unipi.it/iscrizioni/</t>
  </si>
  <si>
    <t>6 crediti
In italiano
2 moduli in presenza (6+6 ore)
8 moduli online (2 ore ciascuno)</t>
  </si>
  <si>
    <t>Mancano:</t>
  </si>
  <si>
    <t xml:space="preserve">MS:
Microsoft Intune
Virtualizzazione 
Marco Perletti  &gt; appuntamento tra 1 mese per raccolta esigenze
</t>
  </si>
  <si>
    <t xml:space="preserve">Gabriele Turra: Scripting </t>
  </si>
  <si>
    <t xml:space="preserve">Acconting&amp;Tresury: Excel + licenza AI </t>
  </si>
  <si>
    <t>Cloud, VMWare</t>
  </si>
  <si>
    <t>Alessandra Ferrari</t>
  </si>
  <si>
    <t xml:space="preserve">Teresa Chirico </t>
  </si>
  <si>
    <t>ARGOMENTO</t>
  </si>
  <si>
    <t xml:space="preserve">PARTECIPANTI </t>
  </si>
  <si>
    <t xml:space="preserve">FORNITORE </t>
  </si>
  <si>
    <t>REFERENTE</t>
  </si>
  <si>
    <t xml:space="preserve">CORSO </t>
  </si>
  <si>
    <t>COSTO CAD</t>
  </si>
  <si>
    <t>TOT</t>
  </si>
  <si>
    <t>PREVENTIVO</t>
  </si>
  <si>
    <t xml:space="preserve">ASSURANCE </t>
  </si>
  <si>
    <t>CCNA</t>
  </si>
  <si>
    <t>Andriy Vicktorov
Matteo Marcellini
Fabio Chiodi
Matteo Redaelli 
Mihai Matra &gt; esame?
Mattia Nardin</t>
  </si>
  <si>
    <t>NUNZIA GAETANI</t>
  </si>
  <si>
    <t>Cisco CCNA</t>
  </si>
  <si>
    <t xml:space="preserve">Prezzo valido solo se acquistiamo tutto il pacchetto VegaTraining.
13-14-15-16-17 luglio 2026 - 09.00/17.00 (Edizione confermata);
14-15-16-17-18 settembre 2026 - 09.00/17.00 (confermiamo con i vostri partecipanti).
In attesa quotazione esami </t>
  </si>
  <si>
    <t>L1
Vicktorov
Buttiglione
Pasinetti
Marcellini
Chiodi 
Nardin 
Matra</t>
  </si>
  <si>
    <t>L2
Piccamiglio
Cecchini
Leva
Redaelli
Avola
De Biasio</t>
  </si>
  <si>
    <r>
      <rPr>
        <sz val="11"/>
        <color rgb="FF000000"/>
        <rFont val="Calibri"/>
        <scheme val="minor"/>
      </rPr>
      <t xml:space="preserve">L3
Lago
Turra
Angelucci
Pagliaroli
</t>
    </r>
    <r>
      <rPr>
        <strike/>
        <sz val="11"/>
        <color rgb="FF000000"/>
        <rFont val="Calibri"/>
        <scheme val="minor"/>
      </rPr>
      <t xml:space="preserve">Gallo
</t>
    </r>
    <r>
      <rPr>
        <sz val="11"/>
        <color rgb="FF000000"/>
        <rFont val="Calibri"/>
        <scheme val="minor"/>
      </rPr>
      <t>Maldotti</t>
    </r>
  </si>
  <si>
    <t xml:space="preserve">Europa Networking </t>
  </si>
  <si>
    <t xml:space="preserve">GIULIA ZANNONI </t>
  </si>
  <si>
    <t xml:space="preserve"> 
CCNA - Learning Partner (Intensivo) </t>
  </si>
  <si>
    <t>https://www.europanetworking.net/corsi-cisco/1-cisco-academy/2-ccna.htm</t>
  </si>
  <si>
    <t xml:space="preserve">Con 5 partecipanti: inserimento corsi in partenza o calendario personalizzato. 
Come anticipato telefonicamente, in caso di utilizzo di Fondimpresa possiamo fornire tutta la documentazione necessaria a supporto della pratica formativa.
Disponibilità per call tecnica per avere una visione dei nostri docenti su entrambe le proposte.
Netto unitario 25000 (2000 se partecipano 5 persone).
Voucher esame industriale Cisco CCNA 200-301 presso test center Pearson VUE. Cad € 350,00 (prezzo riservato a 5 partecipanti).
</t>
  </si>
  <si>
    <t>Offerta Europa</t>
  </si>
  <si>
    <t xml:space="preserve">CCNA - Academy (Standard) </t>
  </si>
  <si>
    <t>ANDREA DALLA TORRE</t>
  </si>
  <si>
    <t xml:space="preserve"> Corso Cisco CCNA </t>
  </si>
  <si>
    <t>https://www.eforhum.it/corsi-cisco/ccna/</t>
  </si>
  <si>
    <t xml:space="preserve">Come ti anticipavo, il corso CCNA dura circa 5 mesi e mezzo, per un totale di 150/160 ore.
L’offerta permette di distribuire i partecipanti su queste 3 edizioni CCNA specifiche;  
• Edizione Sabato (orario 10 – 18 con un’ora di pausa pranzo) – avvio calendarizzato su autunno 
2026 
• Edizione serale martedì e venerdì (orario 19 – 22:30) – avvio calendarizzato su autunno 2026  
• Edizione serale lunedì e giovedì (orario 19 – 22:30) – avvio calendarizzato tra novembre 2026 e 
gennaio 2027 
Il costo dell’esame di certificazione CCNA è escluso dalla cifra sopra indicata; ammonta ad oggi a 285€ circa 
a persona.  </t>
  </si>
  <si>
    <t>Offerta EforHum</t>
  </si>
  <si>
    <t>O365
(NB: prendere MS non MD)</t>
  </si>
  <si>
    <t>Luca Buttiglione 
Luca Pasinetti
Alex Piccamiglio 
Mihai Matra</t>
  </si>
  <si>
    <t>Pipeline</t>
  </si>
  <si>
    <t xml:space="preserve">SIMONA TANZI </t>
  </si>
  <si>
    <t>MOC MS-102 – Microsoft 365 Administrator</t>
  </si>
  <si>
    <t xml:space="preserve"> https://www.pipeline.it/formazione/prodotto/moc-ms-102-microsoft-365-administrator-essentials/</t>
  </si>
  <si>
    <t>Calendario di erogazione
1^ edizione: 3-4-5-6-7 Agosto
2^ edizione: dal 19 Ottobre 
Orario: dal lunedì al giovedì: 9:00 – 17:00; venerdì: 9:00 – 13:00
Modalità di erogazione: Aula Virtuale (MS Teams)
Quota individuale di partecipazione:
€ 1.690,00 + iva (prezzo di listino)
€ 845,00 + iva (prezzo riservato a fronte di 4 iscrizioni allo stesso corso ed edizione a calendario voucher esame non incluso)
Non include il voucher per poter sostenere l’esame di certificazione che, in caso di interesse, andrà acquistato a parte (€ 126,00/cad. + iva)</t>
  </si>
  <si>
    <t>Offerta Pipeline</t>
  </si>
  <si>
    <t xml:space="preserve">Attesa preventivo ASK Consulting per Finanziamento corso + esame </t>
  </si>
  <si>
    <t>preventivo Ask</t>
  </si>
  <si>
    <t>Microsoft 365 Administrator MS-102</t>
  </si>
  <si>
    <t>Corso Microsoft 365 Administrator MS-102 - Vega Training</t>
  </si>
  <si>
    <t xml:space="preserve">Prezzo valido solo se acquistiamo tutto il pacchetto VegaTraining.
La data del MS-102 sarà programmata dopo l’accettazione dell’offerta (interaziendale).
In attesa quotazione esami </t>
  </si>
  <si>
    <t>FORTINET</t>
  </si>
  <si>
    <t>Stefano Loberini
Giovanni Pagliaroli 
Avola
Turra
Leva
Angelucci</t>
  </si>
  <si>
    <t>FortiOS Administrator</t>
  </si>
  <si>
    <t>Corso FortiOS Administrator (FortiGate Administrator)</t>
  </si>
  <si>
    <t xml:space="preserve">€ 9.540,00 </t>
  </si>
  <si>
    <r>
      <rPr>
        <sz val="11"/>
        <color rgb="FF000000"/>
        <rFont val="Calibri"/>
        <scheme val="minor"/>
      </rPr>
      <t xml:space="preserve">Prezzo valido solo se acquistiamo tutto il pacchetto Vega Training.
FortiOS Administrator:
22-23-24-25 giugno 2026 - 09.00/17.00 (edizione confermata);
14-15-16-17 settembre 226 - 09.00/17.00 (confermiamo con i vostri partecipanti).
</t>
    </r>
    <r>
      <rPr>
        <b/>
        <sz val="11"/>
        <color rgb="FF000000"/>
        <rFont val="Calibri"/>
        <scheme val="minor"/>
      </rPr>
      <t xml:space="preserve">COSTI: 
FortiOS Administrator 
6 partecipanti,  2edizioni, costo  € 9.540,00 
4 partecipanti,  2 edizioni, costo  € 6.760,00 
</t>
    </r>
    <r>
      <rPr>
        <sz val="11"/>
        <color rgb="FF000000"/>
        <rFont val="Calibri"/>
        <scheme val="minor"/>
      </rPr>
      <t xml:space="preserve">
In attesa quotazione esami </t>
    </r>
  </si>
  <si>
    <t>LINUX</t>
  </si>
  <si>
    <t xml:space="preserve">Sergio De Biasio 
Luca Monti
Filippo Cecchini 
Andrea Maldotti 
</t>
  </si>
  <si>
    <t>The Linux Foundation CORSO</t>
  </si>
  <si>
    <t xml:space="preserve">Compilato Form Online </t>
  </si>
  <si>
    <t>Questo L'esame: https://training.linuxfoundation.org/certification/linux-foundation-certified-sysadmin-lfcs/ </t>
  </si>
  <si>
    <t>645 dollari</t>
  </si>
  <si>
    <t>CompTIA Linux+</t>
  </si>
  <si>
    <t>https://www.vegatraining.eu/corsi-comptia/corso-linux-administrator-comptia-linux/?gad_source=1&amp;gad_campaignid=1947174207&amp;gbraid=0AAAAAD0nVC7IrYz418HM17C3t-5ZS6s8j&amp;gclid=EAIaIQobChMIir6EutHUlAMVtndBAh083ApJEAAYASAAEgKeU_D_BwE</t>
  </si>
  <si>
    <t>CompTIA Linux+: 5 giorni Full time</t>
  </si>
  <si>
    <t xml:space="preserve">Offerta Vega Comptia </t>
  </si>
  <si>
    <t>TOTALE</t>
  </si>
  <si>
    <t>LINK</t>
  </si>
  <si>
    <t>TIPOLOGIA</t>
  </si>
  <si>
    <t xml:space="preserve">Durata </t>
  </si>
  <si>
    <t xml:space="preserve">DATA FINE </t>
  </si>
  <si>
    <t xml:space="preserve">CHECK </t>
  </si>
  <si>
    <t xml:space="preserve">DATA CHECK 1 </t>
  </si>
  <si>
    <t xml:space="preserve">APPLICATIONS </t>
  </si>
  <si>
    <t xml:space="preserve">Federico dei Cas </t>
  </si>
  <si>
    <t>corso on demand + esame</t>
  </si>
  <si>
    <t>1 anno</t>
  </si>
  <si>
    <t>Access expires March 8, 2027 7:52 PM
Exam Expiration Date:March 08, 2027</t>
  </si>
  <si>
    <t>3 mesi</t>
  </si>
  <si>
    <t xml:space="preserve">15/06/2026
DIMISSIONI 19/06/26:
- Account resta attivo (utenza creata con account develops, salvato in bitwarden 
- Licenza esame già acquistata insieme al corso
- Per il futuro suggerisce: corso UDEMY + piattaforma simulazione esame KILLER SHELL + acquisto esame a parte 
- Per sviluppatori potrebbe essere più interessante CKAD sempre di The Linux Foudation e non il generico CKA 
- PIATTAFORMA UDEMY: https://www.udemy.com/course/certified-kubernetes-administrator-with-practice-tests/?srsltid=AfmBOoqcE3zXFKv0lsx0DehZ4k4eqKiILOVPetqxB7UV2Uy-pjF4ykDR&amp;couponCode=MT260615G1
- PIATTAFORMA KILLER SHELL: https://killer.sh/ 
- CKAD: https://training.linuxfoundation.org/certification/certified-kubernetes-application-developer-ckad/
</t>
  </si>
  <si>
    <t xml:space="preserve">corso on demand </t>
  </si>
  <si>
    <t>Learnn</t>
  </si>
  <si>
    <t>https://learnn.com/v2/?cat=91</t>
  </si>
  <si>
    <t xml:space="preserve">licenza </t>
  </si>
  <si>
    <t>PLAN &amp; PROCESS</t>
  </si>
  <si>
    <t>60 gg</t>
  </si>
  <si>
    <t>1 mese</t>
  </si>
  <si>
    <t xml:space="preserve">Filippo Cecchini
Andrea Maldotti </t>
  </si>
  <si>
    <t>Sergio De Biasio 
Luca Monti</t>
  </si>
  <si>
    <t>FORMAZIONE</t>
  </si>
  <si>
    <t>ARGOMENTI</t>
  </si>
  <si>
    <t>FORMATORE</t>
  </si>
  <si>
    <t>PARTECIPANTI</t>
  </si>
  <si>
    <t>DATA</t>
  </si>
  <si>
    <t xml:space="preserve">Ora </t>
  </si>
  <si>
    <t>H totali</t>
  </si>
  <si>
    <t>PRESENZA/REMOTO</t>
  </si>
  <si>
    <t xml:space="preserve">Sales </t>
  </si>
  <si>
    <t xml:space="preserve">Cloud </t>
  </si>
  <si>
    <t xml:space="preserve">IaaS / Private Cloud / BaaS / DRaaS / Storage </t>
  </si>
  <si>
    <t xml:space="preserve">Maldotti 
Gallo
Chinaglia </t>
  </si>
  <si>
    <r>
      <rPr>
        <sz val="11"/>
        <color rgb="FF000000"/>
        <rFont val="Calibri"/>
        <scheme val="minor"/>
      </rPr>
      <t xml:space="preserve">Regazzi
Maladosa
Gusmini
Degliuomini
Mezzolla
Scattolin 
</t>
    </r>
    <r>
      <rPr>
        <b/>
        <sz val="11"/>
        <color rgb="FF000000"/>
        <rFont val="Calibri"/>
        <scheme val="minor"/>
      </rPr>
      <t xml:space="preserve">Vatta
</t>
    </r>
    <r>
      <rPr>
        <sz val="11"/>
        <color rgb="FF000000"/>
        <rFont val="Calibri"/>
        <scheme val="minor"/>
      </rPr>
      <t>Galbiati
Maestri</t>
    </r>
  </si>
  <si>
    <t xml:space="preserve">14,30 - 16,30 </t>
  </si>
  <si>
    <t>Leonardo</t>
  </si>
  <si>
    <t xml:space="preserve">Voip </t>
  </si>
  <si>
    <t>Voip e Timoo</t>
  </si>
  <si>
    <t>Cecchini
Gallo
Chinaglia</t>
  </si>
  <si>
    <t>Dodero
Regazzi
Maladosa
Mezzolla 
Galbiati
Maestri</t>
  </si>
  <si>
    <t>14,30 - 16,00</t>
  </si>
  <si>
    <t xml:space="preserve">Managed Services </t>
  </si>
  <si>
    <t xml:space="preserve">EDR/MDR / LOG MANAGEMENT/ BaaS e DRaaS / Cybersecurity awareness / 365 </t>
  </si>
  <si>
    <t xml:space="preserve">Maladosa 
Chinaglia </t>
  </si>
  <si>
    <t xml:space="preserve">Regazzi 
Mezzolla
Gusmini
Degliuomini
</t>
  </si>
  <si>
    <t>14,30 -16,30</t>
  </si>
  <si>
    <t>Piattaforma Log Management 
Noleggio HW
Backup Shelli</t>
  </si>
  <si>
    <t>Maladosa (valutare se coinvolgere PAgliaroli)</t>
  </si>
  <si>
    <t xml:space="preserve">Chinaglia
Maladosa </t>
  </si>
  <si>
    <t>9,30-14,00</t>
  </si>
  <si>
    <t xml:space="preserve">Trescore </t>
  </si>
  <si>
    <t xml:space="preserve">Reti TLC </t>
  </si>
  <si>
    <t xml:space="preserve">Chiesto a Vatta cosa interessa in particolare </t>
  </si>
  <si>
    <t xml:space="preserve">Chiesto a Turra il formatore </t>
  </si>
  <si>
    <t>Vatta</t>
  </si>
  <si>
    <t xml:space="preserve">Applications </t>
  </si>
  <si>
    <t xml:space="preserve">Data Base Administrator </t>
  </si>
  <si>
    <t xml:space="preserve">TBD </t>
  </si>
  <si>
    <t xml:space="preserve">Collovigh </t>
  </si>
  <si>
    <t>Chirico</t>
  </si>
  <si>
    <t>MOTIVAZIONE &gt; OBIETTIVO</t>
  </si>
  <si>
    <t xml:space="preserve">MATRICE COMPETENZE </t>
  </si>
  <si>
    <t xml:space="preserve">da individuare </t>
  </si>
  <si>
    <t>Velocizzazione processi e sviluppoapplicativi interni</t>
  </si>
  <si>
    <t>proposto da People</t>
  </si>
  <si>
    <t>Applications</t>
  </si>
  <si>
    <t>proposta</t>
  </si>
  <si>
    <t xml:space="preserve">Davide Collovigh </t>
  </si>
  <si>
    <t xml:space="preserve">fino a quando non termina università no altra formazione </t>
  </si>
  <si>
    <t xml:space="preserve">Federico Dei Cas </t>
  </si>
  <si>
    <t>costo in dollari: $645</t>
  </si>
  <si>
    <t xml:space="preserve">Analisi di come applicativi si possono intersecare nei processi aziendali </t>
  </si>
  <si>
    <t>Supporto del Business Analyst</t>
  </si>
  <si>
    <t>Corso Intensivo BPR - Analisi e progettazione processi aziendali - POLIMI GSoM</t>
  </si>
  <si>
    <t>06/05/20206</t>
  </si>
  <si>
    <t xml:space="preserve">3 giorni </t>
  </si>
  <si>
    <t>https://www.cegos.it/corsi-formazione/hr-organization/formazione-pratica-allapproccio-per-processi</t>
  </si>
  <si>
    <t>Cegos</t>
  </si>
  <si>
    <t xml:space="preserve">edizione online </t>
  </si>
  <si>
    <t>Corso Analisi dei processi - Global Learning</t>
  </si>
  <si>
    <t>Global Learning</t>
  </si>
  <si>
    <t xml:space="preserve">2 giorni 
Da contattare per sapere se presenza/online e prossime date </t>
  </si>
  <si>
    <t xml:space="preserve">affiancamento davide collovigh </t>
  </si>
  <si>
    <t>Backup del ruolo Business Administrator</t>
  </si>
  <si>
    <t xml:space="preserve">Francesco Sorbo </t>
  </si>
  <si>
    <t xml:space="preserve">Vue Shool </t>
  </si>
  <si>
    <t>Stefano Vatta</t>
  </si>
  <si>
    <t>Reti TLC</t>
  </si>
  <si>
    <t xml:space="preserve">Corso interno </t>
  </si>
  <si>
    <t>Fornire una conoscenza operativa dei servizi CDLAN, sviluppando la capacità di comprenderne l’impatto sull’infrastruttura di data center e supportarne l’erogazione.</t>
  </si>
  <si>
    <t>interno</t>
  </si>
  <si>
    <t>Servizi CDLAN</t>
  </si>
  <si>
    <t xml:space="preserve">Gestione del Personale </t>
  </si>
  <si>
    <t>Esterno</t>
  </si>
  <si>
    <t>Sviluppare competenze essenziali per migliorare nell'organizzare, coordinare e motivare il team.</t>
  </si>
  <si>
    <t xml:space="preserve">Acquisire competenze (attualmente non presenti internamente) sul sistema BMS per monitoraggio dell'infrastruttura DC. </t>
  </si>
  <si>
    <t xml:space="preserve">Proposta fornitore </t>
  </si>
  <si>
    <t>4 o 5 da concordare in base agli argomenti scelti</t>
  </si>
  <si>
    <t xml:space="preserve">Alessandro Leocata </t>
  </si>
  <si>
    <t xml:space="preserve">Impianti DC
</t>
  </si>
  <si>
    <t>Attesa link da alessandro</t>
  </si>
  <si>
    <t xml:space="preserve">Schneider dcca </t>
  </si>
  <si>
    <t>Percorso di formazione gratuito (sta già seguendo) + eventuale certificazione a pagamento</t>
  </si>
  <si>
    <t>https://www.datacenterdynamics.com/en/dcdacademy/all-courses-certifications/dcda/</t>
  </si>
  <si>
    <t>Data Center Design Awareness</t>
  </si>
  <si>
    <t>NOVANEXT CDCP</t>
  </si>
  <si>
    <t xml:space="preserve">certificazioni CDCP, CDCS, CDCE (in ordine)
</t>
  </si>
  <si>
    <t xml:space="preserve">2 giorni (online- virtual classroom)
costo con esame compreso </t>
  </si>
  <si>
    <t>varie</t>
  </si>
  <si>
    <t>GAQM     CDCP</t>
  </si>
  <si>
    <t>10/15 ore (validità 40 giorni) - self Explanatory
costo con esame compreso</t>
  </si>
  <si>
    <t>Fibra ottica</t>
  </si>
  <si>
    <t xml:space="preserve">Ha già conoscenze, serve solo certificazione </t>
  </si>
  <si>
    <t>Certificazione tecnica delle proprie competenze</t>
  </si>
  <si>
    <t>CFOT FOA</t>
  </si>
  <si>
    <t xml:space="preserve">Gennaro Ambrosio </t>
  </si>
  <si>
    <t>In malattia al momento delle riunioni</t>
  </si>
  <si>
    <t xml:space="preserve">In malattia </t>
  </si>
  <si>
    <t xml:space="preserve">Sofia  Manzoni </t>
  </si>
  <si>
    <t xml:space="preserve">Assente </t>
  </si>
  <si>
    <t>Percorso di formazione 2026/2027 Fase 2- Corso al Sole 24ORE Business School
(per rafforzare execution + visione), fase 3  GEMA Business School ( avvicinamento HR al business attraverso AI)</t>
  </si>
  <si>
    <t>People</t>
  </si>
  <si>
    <t>2 giorni intensivi online o in presenza</t>
  </si>
  <si>
    <t>1600€ ( fase 1)</t>
  </si>
  <si>
    <t xml:space="preserve">Roberta Catignano </t>
  </si>
  <si>
    <t xml:space="preserve">Valeria Perego </t>
  </si>
  <si>
    <t>Consolidamento tecniche formazione interna</t>
  </si>
  <si>
    <t xml:space="preserve">Apprendere le modalità di erogazione di formazione interna, pianficare e progettare </t>
  </si>
  <si>
    <t xml:space="preserve">Corso Intensivo Progettare i sistemi di formazione e sviluppo delle risorse umane - POLIMI GSoM
</t>
  </si>
  <si>
    <t>prossima edizione dal 14 aprile 2027 al 15 aprile 2027</t>
  </si>
  <si>
    <t xml:space="preserve">aprile </t>
  </si>
  <si>
    <t>Modalità On Campus
2 giorni full time</t>
  </si>
  <si>
    <t>Corso Strategic Learning &amp; Development Executive - 24ORE Business School</t>
  </si>
  <si>
    <t xml:space="preserve">Prima Scelta </t>
  </si>
  <si>
    <t>LIVE STREAMING + ON DEMAND</t>
  </si>
  <si>
    <t>Corso sui fondamenti della formazione: analisi progettazione e valutazione - ISTUD</t>
  </si>
  <si>
    <t xml:space="preserve">Istud </t>
  </si>
  <si>
    <t>da richiedere con compilazione form</t>
  </si>
  <si>
    <t>Scuola sconosciuta</t>
  </si>
  <si>
    <t>SEMINARIO ATTIVABILE IN MODALITÀ IN HOUSE O ONE TO ONE</t>
  </si>
  <si>
    <t>Organizational Learning in Action</t>
  </si>
  <si>
    <t>IMD</t>
  </si>
  <si>
    <t>Costa Troppo</t>
  </si>
  <si>
    <t>EXECUTIVE MASTER  con in FORMAZIONE FORMATORI per Learning &amp; Training Specialist</t>
  </si>
  <si>
    <t xml:space="preserve">ESTE-Scuola d'impresa </t>
  </si>
  <si>
    <r>
      <t xml:space="preserve">58 ORE ormazione in presenza
15 ORE Formazione in modalità webinar 
</t>
    </r>
    <r>
      <rPr>
        <b/>
        <strike/>
        <sz val="11"/>
        <color rgb="FF000000"/>
        <rFont val="Calibri"/>
        <scheme val="minor"/>
      </rPr>
      <t>SONO VECCHI!</t>
    </r>
  </si>
  <si>
    <t>Organizzare, gestire e comunicare la Learning strategy</t>
  </si>
  <si>
    <t xml:space="preserve">on demand </t>
  </si>
  <si>
    <t>è una piccola parte del Corso Strategic Learning &amp; Development Executive - 24ORE Business School</t>
  </si>
  <si>
    <t xml:space="preserve">Marta Savoldi </t>
  </si>
  <si>
    <t xml:space="preserve">promozione dell'evento </t>
  </si>
  <si>
    <t xml:space="preserve">Marta deve scegliere quale corso in piattaforma NINJA </t>
  </si>
  <si>
    <t>Acquisire competenze per pianificare e realizzare la promozione di un evento, definendo strategie, canali e strumenti efficaci per massimizzarne visibilità e partecipazione.</t>
  </si>
  <si>
    <t>learnn 2.0</t>
  </si>
  <si>
    <t>in base a n corsi scelti</t>
  </si>
  <si>
    <t>15 euro al mese</t>
  </si>
  <si>
    <t xml:space="preserve">Lead Generation </t>
  </si>
  <si>
    <t xml:space="preserve">Licenza a 15 euro al mese </t>
  </si>
  <si>
    <t>AI per marketing e content</t>
  </si>
  <si>
    <t>Mini Master in AI per il Marketing</t>
  </si>
  <si>
    <t xml:space="preserve">
Comprendere l'utilizzo dell'AI nel marketing e comprendere come poterlo impiegare correttamente nelle attività lavorative quotidiane</t>
  </si>
  <si>
    <t>Ai per il Marketing: Master Online by Ninja</t>
  </si>
  <si>
    <t>42h</t>
  </si>
  <si>
    <t xml:space="preserve">all'attivazione </t>
  </si>
  <si>
    <t xml:space="preserve">749 &gt; promo 599,20 </t>
  </si>
  <si>
    <t>AI per il marketing - nice to have
Aggiornamento professionale: serve per comprendere l'utilizzo dell'AI nel marketing e comprendere come poterlo impiegare correttamente nelle attività che svolgiamo.</t>
  </si>
  <si>
    <t xml:space="preserve">https://www.ninja.it/corsi-alta-formazione-digital-marketing/
</t>
  </si>
  <si>
    <t>Marta deve scegliere quale corso Ninja, mandate Proposte Talent Garden per valutazione:</t>
  </si>
  <si>
    <t xml:space="preserve">AI for Marketing </t>
  </si>
  <si>
    <t>https://www.canva.com/design/DAHCVjNQXHE/_4NDZwMU9m_6LuuPLoEZUQ/view?utlId=he6945bebc7&amp;utm_campaign=designshare&amp;utm_medium=link2&amp;utm_content=DAHCVjNQXHE&amp;utm_source=uniquelinks</t>
  </si>
  <si>
    <t xml:space="preserve">Talent Garden </t>
  </si>
  <si>
    <t>60ca (6 settimane)</t>
  </si>
  <si>
    <t>corso trovato da valeria, per marta troppo caro</t>
  </si>
  <si>
    <t xml:space="preserve">Corso in Brand Communication </t>
  </si>
  <si>
    <t xml:space="preserve">attendere edizione settembre </t>
  </si>
  <si>
    <t xml:space="preserve">Attesa edizione di settembre online </t>
  </si>
  <si>
    <t>Visual Design - must have
In questo momento nel team abbiamo una competenza molto junior (stage) operativa. 
Serve migliorare la capacità di esprimere concetti attraverso immagini e video.
Serve la capacità di creare e mantenere una identità del brand ex novo, gestire immagini e colori
Imparare questo significa: 
Maggiore autonomia
Mantenere coerenza su tutti i materiali e canali di comunicazione</t>
  </si>
  <si>
    <t xml:space="preserve">Master in Brand &amp; Visual Design </t>
  </si>
  <si>
    <t>Master in Branding &amp; Visual Design - Talent Garden - Master</t>
  </si>
  <si>
    <t>50 ca</t>
  </si>
  <si>
    <t>Attesa edizione di settembre 
durata 8 settimane, online e presenza, per Marta costo alto</t>
  </si>
  <si>
    <t>Attesa edizione di settembre 
durata 8 settiman, online e presenza</t>
  </si>
  <si>
    <t>LinkedIn Ads: pianificare, lanciare e ottimizzare ads su LinkedIn</t>
  </si>
  <si>
    <t>https://learnn.com/corso/linkedin-ads/</t>
  </si>
  <si>
    <t>5.50</t>
  </si>
  <si>
    <t>Digital Advertising &amp; Social ADV - must have
Abbiamo una conoscenza base delle piattaforme di adv ( Google, Meta, e Linkedin)
Ci serve competenza per conoscere i formati adv, come impostare e gestire un budget, come configurare le campagne, come definire i target e come interpretare i risultati.</t>
  </si>
  <si>
    <t>Linkedin Advertising Training</t>
  </si>
  <si>
    <t>https://linkedinforbusiness.it/formazione/linkedin-per-il-marketing/linkedin-advertising-training/</t>
  </si>
  <si>
    <t>Marta non li conosce come fornitori.</t>
  </si>
  <si>
    <t>https://www.24orebs.com/formazione/corsi-executive/corso-digital-marketing-strategia-advertising-ai?_gl=1*1haz5w9*_up*MQ..*_gs*MQ..&amp;gclid=CjwKCAjw46HPBhAMEiwASZpLRJQKN6uTWzzVR1_C4_P9oZA18DDS7s9615kDNj2JoA-in3A2v3B7SRoC6tgQAvD_BwE&amp;gbraid=0AAAAADRpQqSRcMhKeLoAlA9gxu3Aa8g3G</t>
  </si>
  <si>
    <t xml:space="preserve">24 ore business school </t>
  </si>
  <si>
    <t xml:space="preserve">28 h </t>
  </si>
  <si>
    <t xml:space="preserve">online - venerdì pomeriggio + sabato mattina 
4 weekend </t>
  </si>
  <si>
    <t>Corso AI per Content Creation: prompt, workflow e tool per testi, immagini e video</t>
  </si>
  <si>
    <t>https://www.24orebs.com/formazione/corsi-executive/ai-per-content-creation-prompt-workflow-e-tool-per-testi-immagini-e-video</t>
  </si>
  <si>
    <t xml:space="preserve">28h </t>
  </si>
  <si>
    <t>Social: Analytics</t>
  </si>
  <si>
    <t>Marta e Luca devono scegliere quale corso in piattaforma Learnn 2.0</t>
  </si>
  <si>
    <t>in base a n di corsi scelti</t>
  </si>
  <si>
    <t>Marta Savoldi e Luca Fadda</t>
  </si>
  <si>
    <t>Digital: Advertising (ex Google)</t>
  </si>
  <si>
    <t>Marta e Luca devono scegliere quale corso in piattaforma Ninja</t>
  </si>
  <si>
    <t>Acquisire competenze operative nella gestione di campagne di digital advertising, ottimizzandone performance e risultati in funzione degli obiettivi di business.</t>
  </si>
  <si>
    <t>https://www.ninja.it/corsi-alta-formazione-digital-marketing/</t>
  </si>
  <si>
    <t>in base a corso/corsio scelti</t>
  </si>
  <si>
    <t>Dipende dal corso scelto</t>
  </si>
  <si>
    <t>Scegliere quale corso</t>
  </si>
  <si>
    <t xml:space="preserve">
Advertising Master Part Time</t>
  </si>
  <si>
    <t>https://www.canva.com/design/DAHBA4nz7XE/AoRSIXMvAC_SyKYbdq7wHA/view?utlId=h01eda34b82&amp;utm_campaign=designshare&amp;utm_medium=link2&amp;utm_content=DAHBA4nz7XE&amp;utm_source=uniquelinks#1</t>
  </si>
  <si>
    <t>50ca</t>
  </si>
  <si>
    <t>Per Marta costo alto forse non giustificabile perchè comprende ADV anche per meta e tik tok.
E' in collaborazione con Learnn &gt; 6 mesi di piattaforma gratis (POTREBBE SOSTUTUIRE CORSI ADVERTISING PER LUCA)</t>
  </si>
  <si>
    <t>ACCOUNTING &amp; TREASURY</t>
  </si>
  <si>
    <t xml:space="preserve">Matteo Pastori </t>
  </si>
  <si>
    <t>Corso di aggiornamento su novità in ambito contabile/fiscale</t>
  </si>
  <si>
    <t>Aggiornare le conoscenze sulle novità in ambito contabile e fiscale, acquisendo strumenti per applicarle correttamente nella pratica operativa.</t>
  </si>
  <si>
    <t xml:space="preserve">2: nostro consulente non gira nulla (arriva ad altri?)
AI solo 24h istruita apposta per tematiche fiscali </t>
  </si>
  <si>
    <t>accounting &amp; Treasur</t>
  </si>
  <si>
    <t>Carolina Ronchi</t>
  </si>
  <si>
    <t>Corso uso intermedio/avanzato di excel</t>
  </si>
  <si>
    <t>Sviluppare competenze avanzate nell’utilizzo di Excel per l’analisi, la gestione e il controllo dei dati economico-finanziari, migliorando efficienza e accuratezza</t>
  </si>
  <si>
    <t xml:space="preserve">Cinzia Dalla Torre </t>
  </si>
  <si>
    <t>4 WEEKEND</t>
  </si>
  <si>
    <t xml:space="preserve"> 
Il corso fornisce una visione completa e aggiornata della normativa in tema di AI (Gdpr, AI ACT, Dora e NIs 2, Iso/Iec 27002:2022) e ci darebbe competenze specialistiche nella gestione e il controllo dei rischi in azienda relativamente all'utilizzo dell'AI.</t>
  </si>
  <si>
    <t xml:space="preserve">Matrice compliance </t>
  </si>
  <si>
    <t>HSE - Privacy - Cybersecurity - AI - 231</t>
  </si>
  <si>
    <t xml:space="preserve">Compliance Management </t>
  </si>
  <si>
    <t>Acquisire competenze in ambito compliance su D. Lgs. 231/01, trasparenza e anticorruzione, salute e sicurezza, tutela ambientale, antiriciclaggio, privacy e cybersecurity.</t>
  </si>
  <si>
    <t>Corso Compliance Management</t>
  </si>
  <si>
    <t xml:space="preserve">Luiss Business School </t>
  </si>
  <si>
    <t>dipende da N moduli</t>
  </si>
  <si>
    <t>Compliance Management (moduli 1-4) Executive Programme € 4.500 + IVA 16 incontri
Modulo 1: Corporate Governance, Sistema deicontrolli,
Compliance Executive Course € 1.700 + IVA 4 incontri
Moduli 2 + 3: D.Lgs 231/01, Trasparenza e
anticorruzione + Salute, Sicurezza, Ambiente (HSE);
Antiriciclaggio Executive Course € 2.200 + IVA 8 incontri
Modulo 4: Privacy e Cybersecurity Executive Course € 1.700 + IVA 4 incontri</t>
  </si>
  <si>
    <t>Moduli 2+3: D. Lgs. 231/01, Trasparenza ed Anticorruzione, Salute e Sicurezza e Tutela Ambientale; Antiriciclaggio
Modulo 4: Privacy e Cybersecurity
I moduli 2, 3 e 4 permetterebbero di acquisire nuove competenze in ambito compliance relativamente ai temi sopra esposti.</t>
  </si>
  <si>
    <t>SGI - Cybersecurity</t>
  </si>
  <si>
    <t>ISO 27035 - Gestione incidenti sicurezza delle informazioni</t>
  </si>
  <si>
    <t>Approfondire i principali temi della Direttiva NIS 2, acquisendo una comprensione strutturata dei requisiti e degli impatti in ambito sicurezza e compliance.</t>
  </si>
  <si>
    <t>Bureau Veritas</t>
  </si>
  <si>
    <t>Form per richiedere maggiori informazioni</t>
  </si>
  <si>
    <t>Ci permetterebbe di approfondire i temi chiave della NIS 2</t>
  </si>
  <si>
    <t>ESG - DC</t>
  </si>
  <si>
    <t>Bilanci di sostenibilità - GRI Standard</t>
  </si>
  <si>
    <t>Sviluppare ulteriori competenze per la scrittura e la strutturazione dei report di impatto.</t>
  </si>
  <si>
    <t xml:space="preserve">01/04/2026
08/06/2026    
12/10/2026   </t>
  </si>
  <si>
    <t>02/04/2026
09/06/2026
13/10/2026</t>
  </si>
  <si>
    <t>Ci darebbe competenze ulteriori per la scrittura dei nostri report di impatto</t>
  </si>
  <si>
    <t>ESG - DC - SGI</t>
  </si>
  <si>
    <t>Introduzione alla norma ISO 14001</t>
  </si>
  <si>
    <t>Acquisire le basi della norma ISO 14001 per comprendere e applicare un sistema di gestione ambientale.</t>
  </si>
  <si>
    <t>DNV</t>
  </si>
  <si>
    <t xml:space="preserve">2 giorni &gt; form per richiedere maggiori informazioni </t>
  </si>
  <si>
    <t>è un corso introduttivo sulla norma ISO 14001 che ci darebbe gli strumenti per capire e applicare il sistema di gestione ambientale</t>
  </si>
  <si>
    <t>SGI</t>
  </si>
  <si>
    <t>Corso Manager Parità di Genere</t>
  </si>
  <si>
    <t>Acquisire gli strumenti per comprendere e applicare internamente la Uni/PdR sulla Parità di Genere.</t>
  </si>
  <si>
    <t xml:space="preserve">A Sapiens Business School </t>
  </si>
  <si>
    <t xml:space="preserve">Brochure e calendario moduli </t>
  </si>
  <si>
    <t xml:space="preserve"> 
In previsione della Uni/PDR sulla Parità di Genere, il corso ci darebbe gli strumenti utili per comprendere la normativa e applicarla internamente</t>
  </si>
  <si>
    <t xml:space="preserve">SALES </t>
  </si>
  <si>
    <t>Vittoria Regazzi</t>
  </si>
  <si>
    <t>Cloud</t>
  </si>
  <si>
    <t>Formazione Interna (da valutare Hubspot)</t>
  </si>
  <si>
    <t>Fornire una conoscenza chiara dei servizi CDLAN e sviluppare la capacità di presentarli efficacemente, valorizzarli e proporli in base alle esigenze del cliente.</t>
  </si>
  <si>
    <t>Formazione con Cloud</t>
  </si>
  <si>
    <t>Sales</t>
  </si>
  <si>
    <t>Timoo</t>
  </si>
  <si>
    <t>Paolo Maladosa</t>
  </si>
  <si>
    <t>Piattaforma Backup Veem</t>
  </si>
  <si>
    <t>Foramzione con Marco</t>
  </si>
  <si>
    <t>Piattaforma Iaas</t>
  </si>
  <si>
    <t>Sara Gusmini</t>
  </si>
  <si>
    <t>Servizi managed</t>
  </si>
  <si>
    <t>Formazione con Paolo</t>
  </si>
  <si>
    <t>Hubspot (filtri/rapporti/dashboard)</t>
  </si>
  <si>
    <t>Digital 360°</t>
  </si>
  <si>
    <t>Giorgia Degliuomini</t>
  </si>
  <si>
    <t>Giulia Mezzolla</t>
  </si>
  <si>
    <t>Ivan Chinaglia</t>
  </si>
  <si>
    <t>Piattaforma log management/EDR</t>
  </si>
  <si>
    <t>Formazione Paolo/Giovanni</t>
  </si>
  <si>
    <t>Noleggio HW</t>
  </si>
  <si>
    <t>Formazione Paolo/Marco P.</t>
  </si>
  <si>
    <t>Backup shelli</t>
  </si>
  <si>
    <t xml:space="preserve">Marco Ziglioli </t>
  </si>
  <si>
    <t>Corso AI Survival Kit</t>
  </si>
  <si>
    <t>Conoscere e a sfruttare le potenzialità dell’AI per affrontare un mercato in rapida trasformazione</t>
  </si>
  <si>
    <t>https://www.24orebs.com/formazione/corsi-executive/corso-ai-survival-kit?_gl=1*189dcxo*_up*MQ..*_gs*MQ..&amp;gclid=CjwKCAjwhqfPBhBWEiwAZo196geK3hoEHhhYTiH86-tTWr_Ej2V_5C4ltGmFqWpn7PXA0T4HXGczLRoCbkoQAvD_BwE&amp;gbraid=0AAAAADRpQqSyaq-BEHb1dQUF1VIUj-FB-</t>
  </si>
  <si>
    <t>24 ore Business School</t>
  </si>
  <si>
    <t>24 ore</t>
  </si>
  <si>
    <t>19/06/2026</t>
  </si>
  <si>
    <t xml:space="preserve">Sviluppare competenze pratiche e strategiche per comprendere, progettare e integrare agenti intelligenti per riprogettare i flussi aziendali e ridisegnare le competenze. </t>
  </si>
  <si>
    <t>AI Agents avanzati</t>
  </si>
  <si>
    <t>sviluppare agenti AI operativi utilizzando LangChain 1.x, tecniche RAG scalabili e integrazioni MCP, progettando workflow intelligenti e architetture agentiche pronte per la produzione.</t>
  </si>
  <si>
    <t>https://datamasters.it/catalogo/corsi/rag-large-language-models-langchain/#iscriviti</t>
  </si>
  <si>
    <t>Data Masters</t>
  </si>
  <si>
    <t>18 ore</t>
  </si>
  <si>
    <t>21/07/2026</t>
  </si>
  <si>
    <t>Master Big Data, Intelligenza Artificiale e Business Analytics - Advanced Program</t>
  </si>
  <si>
    <t>Utilizzare le nuove tecnologie AI per prendere decisioni strategiche data-driven, innovare i processi e guidare la crescita aziendale</t>
  </si>
  <si>
    <t>https://www.24orebs.com/formazione/professional-master/professional-master-big-data-intelligenza-artificiale-e-business-analytics?_gl=1*189dcxo*_up*MQ..*_gs*MQ..&amp;gclid=CjwKCAjwhqfPBhBWEiwAZo196geK3hoEHhhYTiH86-tTWr_Ej2V_5C4ltGmFqWpn7PXA0T4HXGczLRoCbkoQAvD_BwE&amp;gbraid=0AAAAADRpQqSyaq-BEHb1dQUF1VIUj-FB-</t>
  </si>
  <si>
    <t>66 ore</t>
  </si>
  <si>
    <t>23/10/2026</t>
  </si>
  <si>
    <t>23/01/2027</t>
  </si>
  <si>
    <t>AI Solution Architect</t>
  </si>
  <si>
    <t>Progettare e orchestrare soluzioni di Intelligenza Artificiale end-to-end, traducendo gli obiettivi di business in architetture tecniche solide e scalabili. Selezionare le migliori tecnologie, integrare modelli AI e coordinare team di sviluppo per trasformare le visioni aziendali in progetti concreti e di alto valore.</t>
  </si>
  <si>
    <t>https://www.profession.ai/corsi/ai-solutions-architecture/</t>
  </si>
  <si>
    <t>Profession AI</t>
  </si>
  <si>
    <t>120 ore</t>
  </si>
  <si>
    <t>?</t>
  </si>
  <si>
    <t>Corso AI Automation con n8n</t>
  </si>
  <si>
    <t>imparare a progettare automazioni intelligenti e agenti multi-step con n8n</t>
  </si>
  <si>
    <t>https://datamasters.it/catalogo/corsi/ai-automation-con-n8n/</t>
  </si>
  <si>
    <t>8 ore</t>
  </si>
  <si>
    <t>on demand</t>
  </si>
  <si>
    <t>Master Big Data, Intelligenza Artificiale e Business Analytics</t>
  </si>
  <si>
    <t>Sfruttare le potenzialità dell’AI e analizzare in modo rapido ed efficace i dati aziendali, anche elaborando soluzioni customizzate basate sulle esigenze dell’impresa</t>
  </si>
  <si>
    <t>https://www.24orebs.com/formazione/professional-master/master-big-data-intelligenza-artificiale-e-business-analytics?_gl=1*1p2lq42*_up*MQ..*_gs*MQ..&amp;gclid=CjwKCAjwhqfPBhBWEiwAZo196geK3hoEHhhYTiH86-tTWr_Ej2V_5C4ltGmFqWpn7PXA0T4HXGczLRoCbkoQAvD_BwE&amp;gbraid=0AAAAADRpQqSyaq-BEHb1dQUF1VIUj-FB-</t>
  </si>
  <si>
    <t>25/09/26</t>
  </si>
  <si>
    <t>Master AI for Managers</t>
  </si>
  <si>
    <t>Sfruttare tutte le potenzialità dell’AI al fine di migliorare i processi d’impresa e diventare più competitivi sul mercato</t>
  </si>
  <si>
    <t>https://www.24orebs.com/formazione/professional-master/corso-artificial-intelligence-for-leaders-new-challenges?_gl=1*189dcxo*_up*MQ..*_gs*MQ..&amp;gclid=CjwKCAjwhqfPBhBWEiwAZo196geK3hoEHhhYTiH86-tTWr_Ej2V_5C4ltGmFqWpn7PXA0T4HXGczLRoCbkoQAvD_BwE&amp;gbraid=0AAAAADRpQqSyaq-BEHb1dQUF1VIUj-FB-</t>
  </si>
  <si>
    <t>56 ore</t>
  </si>
  <si>
    <t>18/09/2026</t>
  </si>
  <si>
    <t>28/11/2026</t>
  </si>
  <si>
    <t>AI by Design: Prompt Engineering ADV</t>
  </si>
  <si>
    <t>Fornire una metodologia strutturata per integrare l’intelligenza artificiale sin dalle fasi iniziali
della progettazione, secondo l’approccio AI by Design.</t>
  </si>
  <si>
    <t>https://www.bureauveritas.it/servizi/formazione/corsi/formazione-ambito-intelligenza-artificiale/ai-design-prompt-engineering</t>
  </si>
  <si>
    <t>AI integration &amp; Prompt Engineerng Master</t>
  </si>
  <si>
    <t>Diventa un esperto in prompt engineering e gestione AI. Acquisici competenze su Data Economy, AI generativa e LLM</t>
  </si>
  <si>
    <t>https://talentgarden.com/it/artificial-intelligence-academy-talent-garden#ai-tech</t>
  </si>
  <si>
    <t>Talent Garden</t>
  </si>
  <si>
    <t>45 ore</t>
  </si>
  <si>
    <t xml:space="preserve">OPERATIONS </t>
  </si>
  <si>
    <t>Roberta Scattolin</t>
  </si>
  <si>
    <t>Infrastruttura di network CDLAN</t>
  </si>
  <si>
    <t xml:space="preserve">Formazione Interna </t>
  </si>
  <si>
    <t>Fornire  una conoscenza operativa dei servizi CDL AN, sviluppando la capacità di gestirne l’erogazione, monitorarne le performance e garantire continuità, qualità e allineamento alle esigenze del cliente.</t>
  </si>
  <si>
    <t xml:space="preserve">Formazione interna </t>
  </si>
  <si>
    <t xml:space="preserve">Esigenza di rafforzare le competenze interne su Kubernetes, tecnologia già utilizzata nei nostri sistemi. 
Attualmente, le competenze operative sono concentrate su una sola risorsa (Ivan: autodidatta e non certificato), configurando di fatto un Single Point of Failure (SPOF). Questa situazione rappresenta un rischio sia in termini di continuità operativa sia di capacità di gestione ed evoluzione della piattaforma. 
L’estensione delle competenze tramite formazione e certificazione permetterebbe di: 
ridurre il rischio operativo distribuendo il know-how all’interno del team; 
migliorare la resilienza e la capacità di gestione degli ambienti Kubernetes; 
aumentare l’efficienza nella risoluzione di problemi e nell’implementazione di nuove soluzioni. 
Inoltre, il consolidamento delle competenze interne certificate aprirebbe opportunità strategiche, consentendo di valutare l’erogazione di servizi basati su Kubernetes, come un’offerta di Kubernetes as a Service (KaaS), ampliando il portafoglio servizi dell’organizzazione. 
 </t>
  </si>
  <si>
    <t xml:space="preserve">Esigenza di consolidare e uniformare le competenze sistemistiche Linux all’interno della squadra. 
Attualmente, circa il 90% dell’infrastruttura Cloud è basata su sistemi Linux, rendendo questa tecnologia un elemento critico per l’operatività quotidiana. Pur essendo già presenti competenze diffuse, un percorso strutturato e certificato consentirebbe di elevare il livello medio di preparazione del gruppo, garantendo maggiore omogeneità nelle conoscenze e nelle modalità operative. 
L’acquisizione di competenze avanzate e certificate permetterebbe di: 
migliorare la capacità di gestione e manutenzione dei sistemi Linux; 
aumentare la prontezza operativa nella risoluzione di incident e problematiche; 
standardizzare le best practice all’interno del gruppo; 
ridurre il rischio di errori operativi grazie a una maggiore consapevolezza tecnica. 
Il rafforzamento delle competenze Linux rappresenta quindi un investimento strategico, in quanto abilita una gestione più efficiente, resiliente e scalabile dell’infrastruttura su cui si basano i principali servizi aziendali. </t>
  </si>
  <si>
    <t xml:space="preserve">Esigenza di ampliare le competenze in ambito networking all’interno del team Cloud. 
Attualmente, la risorsa individuata presenta competenze limitate in ambito network. Considerando che le attività sistemistiche sono sempre più interconnesse con componenti di networking (configurazioni di rete, troubleshooting, sicurezza e connettività), il rafforzamento di queste competenze rappresenta un fattore abilitante per una gestione operativa più efficace. 
Lo sviluppo di una figura più completa dal punto di vista tecnico contribuisce a rendere il team più flessibile ed efficiente, migliorando la qualità del servizio e la capacità di risposta alle esigenze operative. </t>
  </si>
  <si>
    <t xml:space="preserve">EforHum </t>
  </si>
  <si>
    <t>Project Management /Leaderhip</t>
  </si>
  <si>
    <t>Gestione progetti e persone con metodo e pianificazione</t>
  </si>
  <si>
    <t>OBIETTIVO</t>
  </si>
  <si>
    <t>DESTINATARI</t>
  </si>
  <si>
    <t>H</t>
  </si>
  <si>
    <t>TO DO</t>
  </si>
  <si>
    <t>O365</t>
  </si>
  <si>
    <t xml:space="preserve">MS-102 </t>
  </si>
  <si>
    <t xml:space="preserve">Certificazione Microsoft per valutazione delle competenze degli admin di M365(tenant, identità, sicurezza, compliance) </t>
  </si>
  <si>
    <t>Alex Piccamiglio</t>
  </si>
  <si>
    <t>attesa proposta fornitori da Giovanni</t>
  </si>
  <si>
    <t xml:space="preserve">Dai CV che certificazioni hanno </t>
  </si>
  <si>
    <t>Fabio Chiodi</t>
  </si>
  <si>
    <t xml:space="preserve">Chiedere ad amministrazione fatture di acquisto formazione dal 2018 ad oggi </t>
  </si>
  <si>
    <t>Luca Buttiglione</t>
  </si>
  <si>
    <t xml:space="preserve">Giro con tecnici chi ha fatto cosa </t>
  </si>
  <si>
    <t>Matteo Marcellini</t>
  </si>
  <si>
    <t>Stefano Loberini</t>
  </si>
  <si>
    <t>Luca Monti</t>
  </si>
  <si>
    <t>Mattia Zanfrini</t>
  </si>
  <si>
    <t>Andriy Viktorv</t>
  </si>
  <si>
    <t>Sergio De Biasio</t>
  </si>
  <si>
    <t>Scegliere chi di Milano deve frequentare il corso in base a chi sarà admin provisioning/assurance</t>
  </si>
  <si>
    <t xml:space="preserve">MD-102 </t>
  </si>
  <si>
    <t>End point Admin: copertura pianificazione ed esecuzione di distribuzione degli end point</t>
  </si>
  <si>
    <t>FORTINET NSE 1, 2, 3</t>
  </si>
  <si>
    <t>Corso base</t>
  </si>
  <si>
    <t xml:space="preserve">Aumentare le competenze su un prodotto che andremo a vendere. Le certificazione abilitano anche ad ottenere sconti maggiori dal vendor.
</t>
  </si>
  <si>
    <t xml:space="preserve">Gabriele Avola </t>
  </si>
  <si>
    <t>Luca Pasinetti</t>
  </si>
  <si>
    <t>Giovanni Pagliaroli</t>
  </si>
  <si>
    <t>Andriy Viktorov</t>
  </si>
  <si>
    <t xml:space="preserve">Mattia Zanfrini </t>
  </si>
  <si>
    <t xml:space="preserve">LINUX BASE </t>
  </si>
  <si>
    <t>CompTIA Linux +</t>
  </si>
  <si>
    <t>Base di linux per la gestione delle attività di Milano</t>
  </si>
  <si>
    <t>Scegliere le persone che si focalizzeranno su Linux. Monti,Buttiglione e Marcellini stanno facendo un corso la sera in autonomia</t>
  </si>
  <si>
    <t xml:space="preserve">LINUX </t>
  </si>
  <si>
    <t>Avanzato</t>
  </si>
  <si>
    <t>Crescita interna</t>
  </si>
  <si>
    <t>Emanuele Damiani</t>
  </si>
  <si>
    <t xml:space="preserve">Corso Base per chi non è ancora certificato Assurance L1 e L2 per gestire i ticket </t>
  </si>
  <si>
    <t>Routing &amp; switching: l'esame sarebbe CCNP e serve per aumentare le competenze sulle tecnologie che usiamo tutti i giorni</t>
  </si>
  <si>
    <t>Gabriele Avola</t>
  </si>
  <si>
    <t>scegliere chi gestirà L1/L2 di entrambe le sedi</t>
  </si>
  <si>
    <t>Fabrizio Missimi</t>
  </si>
  <si>
    <t>Andra Maldotti</t>
  </si>
  <si>
    <t xml:space="preserve">TIPOLOGIA </t>
  </si>
  <si>
    <t xml:space="preserve">ENTE </t>
  </si>
  <si>
    <t xml:space="preserve">NOME CORSO </t>
  </si>
  <si>
    <t>RIFERIMENTO</t>
  </si>
  <si>
    <t xml:space="preserve">DURATA </t>
  </si>
  <si>
    <t xml:space="preserve">COSTO </t>
  </si>
  <si>
    <t>MATERIALE/LINK</t>
  </si>
  <si>
    <t xml:space="preserve">CONSULENTE </t>
  </si>
  <si>
    <t xml:space="preserve">Ask Consulting </t>
  </si>
  <si>
    <t xml:space="preserve">
Massimiliano Giorsetti 
Germana Ferrino</t>
  </si>
  <si>
    <t>fee 16%</t>
  </si>
  <si>
    <t xml:space="preserve">Richiesto preventivo per finanziamento corso O365 di Pipeline </t>
  </si>
  <si>
    <t>Ask Consulting</t>
  </si>
  <si>
    <t>TackTMI</t>
  </si>
  <si>
    <t xml:space="preserve">
Paolo Salvatore Elvio De Sogos</t>
  </si>
  <si>
    <t xml:space="preserve">Piani Finanziati &lt; 10.000 euro fee 1.500 euro + revisore
Piani Finanziati &gt; 10.001 euro fee 15% del valore del piano + revisore
 </t>
  </si>
  <si>
    <t>TimeVision</t>
  </si>
  <si>
    <t>Franco Sassano</t>
  </si>
  <si>
    <t>Non escono per meno del 40%</t>
  </si>
  <si>
    <t>Riferimento di Priscilla Lanata – Studio OBM &amp; Associati</t>
  </si>
  <si>
    <t xml:space="preserve">Ecole </t>
  </si>
  <si>
    <t>Daniele Crippa
Denise Valente</t>
  </si>
  <si>
    <t>Fee del 10% (da 800 euro in su)</t>
  </si>
  <si>
    <r>
      <rPr>
        <b/>
        <sz val="11"/>
        <color rgb="FF70AD47"/>
        <rFont val="Calibri"/>
        <scheme val="minor"/>
      </rPr>
      <t xml:space="preserve">Molto disponibili e chiari! 
</t>
    </r>
    <r>
      <rPr>
        <sz val="11"/>
        <color rgb="FF70AD47"/>
        <rFont val="Calibri"/>
        <scheme val="minor"/>
      </rPr>
      <t>Come da call  intercorsa, ti allego il nostro accordo quadro da cui potrai avere evidenza di tutti i servizi da noi erogati a supporto della gestione dei piani. 
Per procedere avremo esigenza: 
doc in allegato firmato
credenziali di accesso a fondimpresa
eventuali preventivi dei corsi oggetto del finanziamento
Ti ricordo che nei piani composti da soli corsi interaziendali non è possibile recuperare i costi di gestione di Ecole, pertanto il consiglio è prevedere un piano misto, composto anche da corsi destinati solo alla vostra popolazione</t>
    </r>
  </si>
  <si>
    <t>Ecole</t>
  </si>
  <si>
    <t>Lumsa Università</t>
  </si>
  <si>
    <t>Esperto di gestione, monitoraggio, rendicontazione e controllo dei progetti finanziati da fondi S.I.E. e fondi nazionali</t>
  </si>
  <si>
    <t>Durata
4 mesi
Periodo
Dicembre 2026 - marzo 2027
Orario
Giovedì dalle ore 09.00 alle ore 13.00
Le lezioni saranno svolte on-line attraverso la Piattaforma GoTo Webinar in modalità sincrona e asincrona.</t>
  </si>
  <si>
    <t>dicembre 2026 (iscrizioni entro il 10/12/26)</t>
  </si>
  <si>
    <t>€ 816,00</t>
  </si>
  <si>
    <t>masterschool.lumsa.it</t>
  </si>
  <si>
    <t xml:space="preserve">Ecoricerche </t>
  </si>
  <si>
    <t xml:space="preserve">Compilato form online per ricevere informazioni </t>
  </si>
  <si>
    <t>www.ecoricerche.com</t>
  </si>
  <si>
    <t>Emagister</t>
  </si>
  <si>
    <t>Progettazione e Gestione dei piani formativi finanziati dai Fondi Interprofessionali</t>
  </si>
  <si>
    <t>A Roma 
5 gg</t>
  </si>
  <si>
    <t xml:space="preserve">Richieste informazioni tramite form &gt; contattare: 	
FormAzione &amp; Carriere
Via Festo Porzio, 10 Roma
3271621045
</t>
  </si>
  <si>
    <t>www.emagister.it</t>
  </si>
  <si>
    <t xml:space="preserve">Impressione terrbile al telefono con la segreteria </t>
  </si>
  <si>
    <t xml:space="preserve">Olympos </t>
  </si>
  <si>
    <t>Corso La formazione aziendale finanziata dai Fondi Interprofessionali</t>
  </si>
  <si>
    <t xml:space="preserve">Richieste informazioni tramite form </t>
  </si>
  <si>
    <t>Formazione finanziata dai Fondi Interprofessionali - Corso</t>
  </si>
  <si>
    <t>Corso progettazione piani formativi Fondi Interprofessionali</t>
  </si>
  <si>
    <t>Progettazione piani formativi Fondi Interprofessionali</t>
  </si>
  <si>
    <t xml:space="preserve">CONSULENZA </t>
  </si>
  <si>
    <t xml:space="preserve">Assolombarda </t>
  </si>
  <si>
    <t>Manuela Zocco - Assolumbarda area Formazione</t>
  </si>
  <si>
    <t xml:space="preserve">Compreso nella quota associativa di Assolombarda </t>
  </si>
  <si>
    <t>Fanno consulenza specifica: a domanda risposta, non seguono in modo consulenziale la presentazione di un piano formativo</t>
  </si>
  <si>
    <t>Da Survey</t>
  </si>
  <si>
    <t xml:space="preserve">A voce </t>
  </si>
  <si>
    <t xml:space="preserve">CERTIFICAZIONI </t>
  </si>
  <si>
    <t>CORSI</t>
  </si>
  <si>
    <t xml:space="preserve">O365 </t>
  </si>
  <si>
    <t xml:space="preserve">CCNA </t>
  </si>
  <si>
    <t>CCNP</t>
  </si>
  <si>
    <t>SONICWALL</t>
  </si>
  <si>
    <t>VEEM</t>
  </si>
  <si>
    <t>Ambrosio</t>
  </si>
  <si>
    <t xml:space="preserve">NON SENTITO </t>
  </si>
  <si>
    <t xml:space="preserve">Angelucci </t>
  </si>
  <si>
    <r>
      <rPr>
        <sz val="11"/>
        <color rgb="FF000000"/>
        <rFont val="Calibri"/>
        <scheme val="minor"/>
      </rPr>
      <t>• Cisco Collaboration SaaS 700-680 Giugno 2023 – Giugno 2023 (certificato in vecchia azienda, non recuperabile)
• AWS Certified Solution Architect - Associate Aprile 2023 – Giugno 2023 (certificazione)
• AWS Certified Cloud Practitioner Dicembre 2022 – Gennaio 2023 (certificazione) 
• Cisco CCNA Switching and Routing Ottobre 2020 – Marzo 2021</t>
    </r>
    <r>
      <rPr>
        <sz val="11"/>
        <color rgb="FFFF0000"/>
        <rFont val="Calibri"/>
        <scheme val="minor"/>
      </rPr>
      <t xml:space="preserve"> (DA CARICARE IN FACTORIAL ANCHE SE SCADUTA)
</t>
    </r>
    <r>
      <rPr>
        <sz val="11"/>
        <color rgb="FF000000"/>
        <rFont val="Calibri"/>
        <scheme val="minor"/>
      </rPr>
      <t xml:space="preserve">• Cisco CCNP </t>
    </r>
    <r>
      <rPr>
        <sz val="11"/>
        <color rgb="FFED7D31"/>
        <rFont val="Calibri"/>
        <scheme val="minor"/>
      </rPr>
      <t xml:space="preserve">BOCCIATO ESAME
</t>
    </r>
  </si>
  <si>
    <t xml:space="preserve">• Fortinet NSE 3 “Fortinet Product Awareness” Certificate Giugno 2023 – Luglio 2023 (attestato partecipazione)
• Fortinet NSE 2 “The Evolution of Cybersecurity” Certificate Dicembre 2022 – Gennaio 2023 (attestato partecipazione)
• Fortinet NSE 1 “Information Security Awareness” Certificate Novembre 2022 – Novembre 2022 (attestato partecipazione)
• Certificazione JAVA Oracle 8 (sviluppo app ambiente Android &amp; IOS) Gennaio 2018 – Aprile 2019 &gt; solo attestato di completamento del corso (no esame)
• Linux Administration Bootcamp: “Go from Beginner to Advanced” Settembre 2021 – Dicembre 2021 (solo corso, attestato di partecipazione)
</t>
  </si>
  <si>
    <t>x</t>
  </si>
  <si>
    <t>Avola</t>
  </si>
  <si>
    <r>
      <rPr>
        <sz val="11"/>
        <color rgb="FF000000"/>
        <rFont val="Calibri"/>
      </rPr>
      <t xml:space="preserve">• Cisco CCNA - certificazione 2019 (scaduta 2022) </t>
    </r>
    <r>
      <rPr>
        <sz val="11"/>
        <color rgb="FFFF0000"/>
        <rFont val="Calibri"/>
      </rPr>
      <t>(CARICARLA IN FACTORIAL ANCHE SE SCADUTA)</t>
    </r>
  </si>
  <si>
    <t xml:space="preserve">• Corso Forcepoint: Forcepoint NGFW Administrator (solo corso, no certificazione) 2021 </t>
  </si>
  <si>
    <t>Buttiglione</t>
  </si>
  <si>
    <t xml:space="preserve">• Corso Sonicwall SNSA OS7, anno 2023 (solo: attestato frequenza, no passaton esame)
</t>
  </si>
  <si>
    <t>Cecchini</t>
  </si>
  <si>
    <r>
      <rPr>
        <sz val="11"/>
        <color rgb="FF000000"/>
        <rFont val="Calibri"/>
        <scheme val="minor"/>
      </rPr>
      <t xml:space="preserve">•MTCNA (MikroTik Certified Network Associate) 2021 (validità 3 anni, scaduta) </t>
    </r>
    <r>
      <rPr>
        <sz val="11"/>
        <color rgb="FFFF0000"/>
        <rFont val="Calibri"/>
        <scheme val="minor"/>
      </rPr>
      <t xml:space="preserve">&gt;  CARICARE IN FACTORIAL
</t>
    </r>
    <r>
      <rPr>
        <sz val="11"/>
        <color rgb="FF000000"/>
        <rFont val="Calibri"/>
        <scheme val="minor"/>
      </rPr>
      <t xml:space="preserve">•CCNA (Cisco Certified Network Associate) 2020 (scaduta nel 23) </t>
    </r>
    <r>
      <rPr>
        <sz val="11"/>
        <color rgb="FFFF0000"/>
        <rFont val="Calibri"/>
        <scheme val="minor"/>
      </rPr>
      <t xml:space="preserve">&gt; CARICARE IN FACTORIAL
</t>
    </r>
    <r>
      <rPr>
        <sz val="11"/>
        <color rgb="FF000000"/>
        <rFont val="Calibri"/>
        <scheme val="minor"/>
      </rPr>
      <t xml:space="preserve">•Aarenet Certified Associate ACA V7	02/02/2024	(no scadenza)		 </t>
    </r>
  </si>
  <si>
    <t xml:space="preserve">• Corso Veeam: VMCE , no esame, anno 2022
• Corso Linux administrator: ""Linux Administrator •CompTIA Linux+ - 16022023 - Internal - Extensive - PM"", anno 2023"
•Corso Kubernetes, anno 2024, fornitore Arrow </t>
  </si>
  <si>
    <t>Chiodi</t>
  </si>
  <si>
    <t xml:space="preserve">•Icdl/ecdl
Data di conseguimento
05/04/2022      </t>
  </si>
  <si>
    <t xml:space="preserve">•AVS REstart
Data di conseguimento 14/12/2022
 </t>
  </si>
  <si>
    <t xml:space="preserve">•Arxivar, corso, anno 2017
</t>
  </si>
  <si>
    <t>Collovigh</t>
  </si>
  <si>
    <t>•Veeam VMCE ,esame 2022 (passato esame, certificato)</t>
  </si>
  <si>
    <t xml:space="preserve">•CCNA (Cisco Certified Network Associate) 2017 (solo corso)
•MTCNA, corso, anno 2021
    </t>
  </si>
  <si>
    <t>De Biasio</t>
  </si>
  <si>
    <t>•Corso 2 gg, Microsoft 365 Certified: Security Administrator Associate (questo corso + certificazione non esiste più) nel 2023.
•Corso + certificazione scaduta SonicWall Network Security Administrator (SNSA), 2022. corso online 2gg 
•Certificazione Base 3CX: https://www.3cx.it/accademia3cx/base/ (non trova più certificazione base - 2018, al massimo rifà l'esame e lo passa)</t>
  </si>
  <si>
    <t>Dei Cas</t>
  </si>
  <si>
    <t xml:space="preserve">•Certified Kubertenes Administrator - IN CORSO </t>
  </si>
  <si>
    <t xml:space="preserve">•Corso Argo 3000 - Conteiner e Microservizi (kubernetes), Anno 2024 </t>
  </si>
  <si>
    <t>Ferrari</t>
  </si>
  <si>
    <t xml:space="preserve">•Red Hat RH018: Virtualization and Infrastructure Migration Technical Overview, luglio 2021, by EXTRAORDY
•Red Hat DO007: Ansible Essentials: Semplicity in Automation, settembre 2020, by EXTRAORDY		
•Red Hat DO080: Deploying Containerized Applications, luglio 2020, by EXTRAORDY	
•Red Hat RH024: Enterprise Linux Technical Overview, maggio 2020, by EXTRAORDY																				</t>
  </si>
  <si>
    <t xml:space="preserve">•Corso Argo 3000 - Conteiner e Microservizi (kubernetes), Anno 2024 
•Corso PMI, anno 2023, solo corso </t>
  </si>
  <si>
    <t>Gallo</t>
  </si>
  <si>
    <t xml:space="preserve">•CCNA (Cisco Certified Network Associate) 2020 -2024
•VMware vSphere 7.0 VCP- 2020
•VMware VCP-DCV 2V0-21.20	19/07/2023
•VMware VCP-NV 2V0-41.23	22/03/2024	
•Aarenet Basic V6 Certification Course	06/06/2025	
•Aarenet Basic V7 Certification Course 05/02/2024
•3CX Advanced Certified Engineer v18  04/11/2022	</t>
  </si>
  <si>
    <t xml:space="preserve">•Corso Veeam: VMCE , no esame, anno 2022
•Corso Data Base RIPE, anno 2023, corso di 1 gg no •attestato
•Corso Kubernetes, anno 2024, fornitore Arrow </t>
  </si>
  <si>
    <t>Incarbone</t>
  </si>
  <si>
    <t>•Master Full Stack Web Development 2025</t>
  </si>
  <si>
    <t>Lago</t>
  </si>
  <si>
    <t xml:space="preserve">•VMware vSphere: Install, Configure, Manage [V8] 20/1/2023		
•VMware NSX: Install, Configure, Manage [V4.0]26/5/2023	</t>
  </si>
  <si>
    <t xml:space="preserve">•Corso Data Base RIPE, anno 2023, corso di 1 gg no attestato
•Corso NinjaOne Administrator, 2026
•Corso NinjaOne Automation, In corso </t>
  </si>
  <si>
    <t>Leocata</t>
  </si>
  <si>
    <r>
      <rPr>
        <sz val="11"/>
        <color rgb="FF000000"/>
        <rFont val="Calibri"/>
        <scheme val="minor"/>
      </rPr>
      <t xml:space="preserve">•Reti di trasporto ottico, 24 novembre 2021, NON RILASCIATO CERTIFICATO 	
•Misure di collaudo con strumentazione VIAVI, 12 maggio 2021, NON RILASCIATO CERTIFICATO 
•CCNA (senza certificazione), 7 febbraio 2021, NON RILASCIATO CERTIFICATO 	
•Linux administrator (senza certificazione), febbraio 2023,  NON RILASCIATO CERTIFICATO 	
•Cablaggio strutturato, 18 giugno-22 luglio 2024, NON RILASCIATO CERTIFICATO 	
•Lenel, 4 novembre 2024, NON RILASCIATO CERTIFICATO						
•Linux Administrator CompTIA Linux+ - 16022023 - Internal - Extensive - PM, anno 2023 </t>
    </r>
    <r>
      <rPr>
        <sz val="11"/>
        <color rgb="FFFF0000"/>
        <rFont val="Calibri"/>
        <scheme val="minor"/>
      </rPr>
      <t>DA CARICARE IN FACTORIAL</t>
    </r>
  </si>
  <si>
    <t>Leva</t>
  </si>
  <si>
    <t>•CCNA 200-301 - Cisco Certified Network Associate 24/05/2023
•CCNP ENCOR 350-401 - Implementing and Operating Cisco Enterprise Network Core Technologies April 29, 2026 -April 29, 2029</t>
  </si>
  <si>
    <t>valida per CCNP</t>
  </si>
  <si>
    <t>valida</t>
  </si>
  <si>
    <t>Loberini</t>
  </si>
  <si>
    <t>•SonicWall Network Security Administrator (SNSA), anno 2021 (scaduta)</t>
  </si>
  <si>
    <t>•Corso CCNA certification 2011-2012, mai fatto esame</t>
  </si>
  <si>
    <t>Maldotti</t>
  </si>
  <si>
    <r>
      <rPr>
        <sz val="11"/>
        <color rgb="FF000000"/>
        <rFont val="Calibri"/>
        <scheme val="minor"/>
      </rPr>
      <t xml:space="preserve">•Veeam Certified Engineer (VMCE) 2024 - Giugno 2024
•VMWare Certified Professional - Data Center Virtualization 2023 - Maggio 2023
•Ninja Certified Technician - MSP - Aprile 2026
</t>
    </r>
    <r>
      <rPr>
        <sz val="11"/>
        <color rgb="FFFF0000"/>
        <rFont val="Calibri"/>
        <scheme val="minor"/>
      </rPr>
      <t xml:space="preserve">NON C'E' IN FACTORIAL 
</t>
    </r>
    <r>
      <rPr>
        <sz val="11"/>
        <color rgb="FF000000"/>
        <rFont val="Calibri"/>
        <scheme val="minor"/>
      </rPr>
      <t xml:space="preserve"> </t>
    </r>
  </si>
  <si>
    <t xml:space="preserve">•Corso Kubernetes, anno 2024, fornitore Arrow </t>
  </si>
  <si>
    <t>Marcellini</t>
  </si>
  <si>
    <t xml:space="preserve">•3CX Basic Certified Engineer, 13/4/25, valida 
</t>
  </si>
  <si>
    <t>Missimi</t>
  </si>
  <si>
    <t>Certificazione Cisco CCNA Routing and Switching, - eForHumCertificazione Cisco CCNA Routing and Switching, - eForHum
| via Valassina, 24 Milano | 2019
Inizio Corso per conseguimento Certificazione Cisco CCNP ENCOR - eForHum
| via Valassina, 24 Milano | 2023</t>
  </si>
  <si>
    <t>Monti</t>
  </si>
  <si>
    <r>
      <rPr>
        <sz val="11"/>
        <color rgb="FF000000"/>
        <rFont val="Calibri"/>
        <scheme val="minor"/>
      </rPr>
      <t xml:space="preserve">•CCNA Cisco Vega Training, nel 2023 certificazione scaduta </t>
    </r>
    <r>
      <rPr>
        <sz val="11"/>
        <color rgb="FFFF0000"/>
        <rFont val="Calibri"/>
        <scheme val="minor"/>
      </rPr>
      <t>(CARICARE IN FACTORIAL ANCHE SE SCADUTA)</t>
    </r>
  </si>
  <si>
    <t xml:space="preserve">•Windows Server 2019 - Active Directory Udemy, anno 2023, attestato di frequenza, no certificazione 
•Fortinet Firewall Udemy, anno 2023, attestato frequenza no certificazione 
•Sophos Firewall Udemy, anno 2023, attestato di frequenza, no certificazione
•Linux Udemy, lo sta facendo ora </t>
  </si>
  <si>
    <t>Pagliaroli</t>
  </si>
  <si>
    <t xml:space="preserve">•Microsoft 365 Certified: Administrator Expert, 02/06/2020- 03/06/2026: RIFATTA (ha scadenza annuale)
•Microsoft 365 Certified: Fundamentals, 16/04/2020
•Microsoft Certified Professional, 16/04/2012
•SonicWall Network Security Professional (SNSP), 06/08/2024 - 06/08/2026
•CompTia Security+, 02/09/2024 - 02/09/2027
•Certified Professional Ethical Hacker CPEH, 27/06/2022
•3CX Advanced Certiﬁed Engineer v18, 30/04/2017
</t>
  </si>
  <si>
    <t xml:space="preserve">•CCNA ma no certificazione, circa 15 anni fa </t>
  </si>
  <si>
    <t>Pasinetti</t>
  </si>
  <si>
    <t>• Cisco ITE, anno 2022
• Cisco ITN, anno 2022
• Cisco CCNA, (Implementing and Administering Cisco Solutions), 19/10/2024 - 19/10/2027</t>
  </si>
  <si>
    <t>Piccamiglio</t>
  </si>
  <si>
    <r>
      <rPr>
        <sz val="11"/>
        <color rgb="FF000000"/>
        <rFont val="Calibri"/>
        <scheme val="minor"/>
      </rPr>
      <t xml:space="preserve">• 3CX Basic, anno 2024 - valida fino a quando non cambia versione di 3CX
• 3CX Advanced, anno 2024 - valida fino a quando non cambia versione di 3CX
• MCP anno 2002 presso Global Knowledge, (certificazione scaduta)
• MCSE anno 2003 presso Global Knowledge, (certificazione scaduta) 
</t>
    </r>
    <r>
      <rPr>
        <sz val="11"/>
        <color rgb="FFFF0000"/>
        <rFont val="Calibri"/>
        <scheme val="minor"/>
      </rPr>
      <t xml:space="preserve">TUTTE DA CARICARE IN FACTORIAL	</t>
    </r>
    <r>
      <rPr>
        <sz val="11"/>
        <color rgb="FF000000"/>
        <rFont val="Calibri"/>
        <scheme val="minor"/>
      </rPr>
      <t xml:space="preserve">				</t>
    </r>
  </si>
  <si>
    <t>Redaelli</t>
  </si>
  <si>
    <t>NON HA CERTIFICAZIONI/CORSI</t>
  </si>
  <si>
    <t>Sorbo</t>
  </si>
  <si>
    <t>• Professional Certificate Google Data Analytics, Giugno 2025</t>
  </si>
  <si>
    <t>• Corso Linux presso OpenLab, anno 2010 
• Èspero: corso formazione per certificato Suite Adobe, anno 2009
• Corso Applied software engineering foundamentals specialization (FYXM...) - mai terminato   
• Python data science AI &amp; developement (53ad)
• Developing AI Application with Python and flask (ks7w)</t>
  </si>
  <si>
    <t>Turra</t>
  </si>
  <si>
    <t xml:space="preserve">•2019 Certificazione Huawei "HCIP Routing &amp; Switching"
•2018 Certificazione Huawei "HCNA Routing &amp; Switching
•2018 Certificazione Cisco "CCNA Routing &amp; Switching
•2017/2018 Certificazione "Cisco CCENT" 
•29/04/2025 - 29/04/2029 "CCNP Encor"	
</t>
  </si>
  <si>
    <t>•Corso Data Base RIPE, anno 2023, corso di 1 gg no attestato
•Corso Hauwei 1 giorno protocollo MPLS , anno 2023</t>
  </si>
  <si>
    <t xml:space="preserve">•Corso e-learning responsabili impianti URI-RI e preposti ai lavori URL-PL norma CEI, anno 2026 
•Corso Energy Manager, anno 2022 </t>
  </si>
  <si>
    <t>Viktorov</t>
  </si>
  <si>
    <t>NON HA ACCETTATO LA CALL, NON SI E' COLLEGATO</t>
  </si>
  <si>
    <t>Zanfrini</t>
  </si>
  <si>
    <t>•Fortinet certified professional network security 2025-2027</t>
  </si>
  <si>
    <t>•Corso, Veeam VMCE, anno 2022 (no certificazione)
•3CX Basic, solo corso, anno 2024</t>
  </si>
  <si>
    <t xml:space="preserve">valida </t>
  </si>
  <si>
    <t>Ziglioli</t>
  </si>
  <si>
    <r>
      <rPr>
        <sz val="11"/>
        <color rgb="FF000000"/>
        <rFont val="Calibri"/>
        <scheme val="minor"/>
      </rPr>
      <t xml:space="preserve">•Veeam 2023
•NS0-051 NASP Sales Accreditation 2020
•Netapp 2020
•selling netapp 2020
•selling ontap 2020
•channel partner program 2021
•mist wifi certification 2021
•location certification 2021 
</t>
    </r>
    <r>
      <rPr>
        <sz val="11"/>
        <color rgb="FFFF0000"/>
        <rFont val="Calibri"/>
        <scheme val="minor"/>
      </rPr>
      <t xml:space="preserve">CARICARE IN FACTORIAL </t>
    </r>
  </si>
  <si>
    <t xml:space="preserve">•Corso Veeam Backup and Replication v12, anno 2023  (3 gg di corso, mai dato esame)
•Corso Kubernetes, anno 2024, fornitore Arrow </t>
  </si>
  <si>
    <t xml:space="preserve">Zenoni </t>
  </si>
  <si>
    <t>•NinjAONE CERTIFIED TECHNICIAN MSP, anno 2026, scadenza 16/4/27
•NinjAONE CERTIFIed automation specialist, anno 2026, scadenza 23/4/27</t>
  </si>
  <si>
    <t>Matra</t>
  </si>
  <si>
    <t xml:space="preserve">Nardin </t>
  </si>
  <si>
    <t>• AZ-900 Microsoft Concetti fondamentali di Azure.
• SC-900 Microsoft Fondamenti di Sicurezza, Conformità e Identità.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</si>
</sst>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0.00\ &quot;€&quot;;[Red]\-#,##0.00\ &quot;€&quot;"/>
    <numFmt numFmtId="164" formatCode="_-* #,##0.00\ [$€-410]_-;\-* #,##0.00\ [$€-410]_-;_-* &quot;-&quot;??\ [$€-410]_-;_-@_-"/>
    <numFmt numFmtId="165" formatCode="_-[$$-409]* #,##0.00_ ;_-[$$-409]* \-#,##0.00\ ;_-[$$-409]* &quot;-&quot;??_ ;_-@_ "/>
    <numFmt numFmtId="166" formatCode="_([$€-2]\ * #,##0.00_);_([$€-2]\ * \(#,##0.00\);_([$€-2]\ * &quot;-&quot;??_);_(@_)"/>
  </numFmts>
  <fonts count="69">
    <font>
      <sz val="11"/>
      <color theme="1"/>
      <name val="Calibri"/>
      <family val="2"/>
      <scheme val="minor"/>
    </font>
    <font>
      <sz val="11"/>
      <color theme="1"/>
      <name val="Calibri"/>
      <scheme val="minor"/>
    </font>
    <font>
      <sz val="11"/>
      <color theme="1"/>
      <name val="Calibri"/>
      <scheme val="minor"/>
    </font>
    <font>
      <u/>
      <sz val="11"/>
      <color theme="10"/>
      <name val="Calibri"/>
      <family val="2"/>
      <scheme val="minor"/>
    </font>
    <font>
      <b/>
      <sz val="11"/>
      <color theme="1"/>
      <name val="Calibri"/>
      <family val="2"/>
      <scheme val="minor"/>
    </font>
    <font>
      <sz val="10"/>
      <color theme="1"/>
      <name val="Calibri"/>
      <scheme val="minor"/>
    </font>
    <font>
      <sz val="11"/>
      <color theme="1"/>
      <name val="Calibri"/>
    </font>
    <font>
      <u/>
      <sz val="11"/>
      <color rgb="FF0000FF"/>
      <name val="Calibri"/>
    </font>
    <font>
      <sz val="10"/>
      <color rgb="FF000000"/>
      <name val="Calibri"/>
      <scheme val="minor"/>
    </font>
    <font>
      <sz val="15"/>
      <color rgb="FF000000"/>
      <name val="Source-Sans-BoldPro"/>
      <charset val="1"/>
    </font>
    <font>
      <sz val="10"/>
      <color theme="1"/>
      <name val="Arial"/>
    </font>
    <font>
      <sz val="12"/>
      <color rgb="FF000000"/>
      <name val="Aptos"/>
      <charset val="1"/>
    </font>
    <font>
      <sz val="11"/>
      <color rgb="FFFF0000"/>
      <name val="Calibri"/>
      <family val="2"/>
      <scheme val="minor"/>
    </font>
    <font>
      <sz val="11"/>
      <color rgb="FF000000"/>
      <name val="Calibri"/>
      <charset val="1"/>
    </font>
    <font>
      <sz val="10"/>
      <color theme="2" tint="-0.249977111117893"/>
      <name val="Calibri"/>
      <scheme val="minor"/>
    </font>
    <font>
      <sz val="11"/>
      <color theme="2" tint="-0.249977111117893"/>
      <name val="Calibri"/>
      <family val="2"/>
      <scheme val="minor"/>
    </font>
    <font>
      <sz val="10"/>
      <color theme="2" tint="-0.249977111117893"/>
      <name val="Arial"/>
    </font>
    <font>
      <sz val="15"/>
      <color theme="2" tint="-0.249977111117893"/>
      <name val="Source-Sans-BoldPro"/>
      <charset val="1"/>
    </font>
    <font>
      <sz val="11"/>
      <color rgb="FF000000"/>
      <name val="Calibri"/>
      <family val="2"/>
      <scheme val="minor"/>
    </font>
    <font>
      <u/>
      <sz val="11"/>
      <color rgb="FF000000"/>
      <name val="Calibri"/>
      <family val="2"/>
      <scheme val="minor"/>
    </font>
    <font>
      <sz val="11"/>
      <color rgb="FF000000"/>
      <name val="Calibri"/>
    </font>
    <font>
      <u/>
      <sz val="11"/>
      <color rgb="FF000000"/>
      <name val="Calibri"/>
    </font>
    <font>
      <sz val="11"/>
      <color rgb="FF000000"/>
      <name val="Calibri"/>
      <scheme val="minor"/>
    </font>
    <font>
      <sz val="10"/>
      <color rgb="FF000000"/>
      <name val="Arial"/>
    </font>
    <font>
      <sz val="11"/>
      <color rgb="FF242424"/>
      <name val="Aptos Narrow"/>
      <charset val="1"/>
    </font>
    <font>
      <sz val="11"/>
      <color theme="2"/>
      <name val="Calibri"/>
      <family val="2"/>
      <scheme val="minor"/>
    </font>
    <font>
      <b/>
      <sz val="11"/>
      <color theme="5"/>
      <name val="Calibri"/>
      <family val="2"/>
      <scheme val="minor"/>
    </font>
    <font>
      <sz val="11"/>
      <color theme="5"/>
      <name val="Calibri"/>
      <family val="2"/>
      <scheme val="minor"/>
    </font>
    <font>
      <sz val="11"/>
      <color theme="9"/>
      <name val="Calibri"/>
    </font>
    <font>
      <sz val="11"/>
      <color rgb="FF000000"/>
      <name val="Aptos Narrow"/>
      <family val="2"/>
    </font>
    <font>
      <sz val="11"/>
      <color rgb="FFFF0000"/>
      <name val="Calibri"/>
      <scheme val="minor"/>
    </font>
    <font>
      <strike/>
      <sz val="11"/>
      <color theme="1"/>
      <name val="Calibri"/>
      <family val="2"/>
      <scheme val="minor"/>
    </font>
    <font>
      <sz val="11"/>
      <color rgb="FFFF0000"/>
      <name val="Calibri"/>
    </font>
    <font>
      <sz val="11"/>
      <color rgb="FFED7D31"/>
      <name val="Calibri"/>
      <scheme val="minor"/>
    </font>
    <font>
      <sz val="10"/>
      <color theme="5"/>
      <name val="Calibri"/>
      <scheme val="minor"/>
    </font>
    <font>
      <b/>
      <sz val="11"/>
      <color rgb="FFFF0000"/>
      <name val="Calibri"/>
      <family val="2"/>
      <scheme val="minor"/>
    </font>
    <font>
      <strike/>
      <sz val="11"/>
      <color rgb="FF000000"/>
      <name val="Calibri"/>
      <family val="2"/>
      <scheme val="minor"/>
    </font>
    <font>
      <strike/>
      <u/>
      <sz val="11"/>
      <color rgb="FF000000"/>
      <name val="Calibri"/>
      <family val="2"/>
      <scheme val="minor"/>
    </font>
    <font>
      <strike/>
      <sz val="11"/>
      <color rgb="FF000000"/>
      <name val="Calibri"/>
      <charset val="1"/>
    </font>
    <font>
      <strike/>
      <sz val="11"/>
      <color theme="1" tint="0.499984740745262"/>
      <name val="Calibri"/>
      <family val="2"/>
      <scheme val="minor"/>
    </font>
    <font>
      <strike/>
      <sz val="11"/>
      <color theme="5"/>
      <name val="Calibri"/>
      <family val="2"/>
      <scheme val="minor"/>
    </font>
    <font>
      <b/>
      <strike/>
      <sz val="11"/>
      <color theme="1"/>
      <name val="Calibri"/>
      <family val="2"/>
      <scheme val="minor"/>
    </font>
    <font>
      <strike/>
      <sz val="11"/>
      <color theme="1"/>
      <name val="Calibri"/>
      <scheme val="minor"/>
    </font>
    <font>
      <sz val="11"/>
      <color rgb="FFFF0000"/>
      <name val="Calibri"/>
      <charset val="1"/>
    </font>
    <font>
      <u/>
      <sz val="11"/>
      <color rgb="FFFF0000"/>
      <name val="Calibri"/>
      <family val="2"/>
      <scheme val="minor"/>
    </font>
    <font>
      <b/>
      <sz val="11"/>
      <color rgb="FF000000"/>
      <name val="Calibri"/>
      <scheme val="minor"/>
    </font>
    <font>
      <sz val="11"/>
      <color theme="1"/>
      <name val="Aptos"/>
      <family val="2"/>
      <charset val="1"/>
    </font>
    <font>
      <b/>
      <sz val="11"/>
      <color theme="1"/>
      <name val="Calibri"/>
      <scheme val="minor"/>
    </font>
    <font>
      <u/>
      <sz val="11"/>
      <color theme="9"/>
      <name val="Calibri"/>
      <family val="2"/>
      <scheme val="minor"/>
    </font>
    <font>
      <sz val="11"/>
      <color theme="9"/>
      <name val="Calibri"/>
      <family val="2"/>
      <scheme val="minor"/>
    </font>
    <font>
      <u/>
      <sz val="11"/>
      <color rgb="FF0070C0"/>
      <name val="Calibri"/>
      <scheme val="minor"/>
    </font>
    <font>
      <u/>
      <sz val="11"/>
      <color rgb="FF0070C0"/>
      <name val="Calibri"/>
      <family val="2"/>
      <scheme val="minor"/>
    </font>
    <font>
      <sz val="11"/>
      <color rgb="FF0070C0"/>
      <name val="Calibri"/>
      <scheme val="minor"/>
    </font>
    <font>
      <strike/>
      <u/>
      <sz val="11"/>
      <color theme="10"/>
      <name val="Calibri"/>
      <family val="2"/>
      <scheme val="minor"/>
    </font>
    <font>
      <strike/>
      <sz val="11"/>
      <color rgb="FF000000"/>
      <name val="Calibri"/>
      <scheme val="minor"/>
    </font>
    <font>
      <b/>
      <strike/>
      <sz val="11"/>
      <color rgb="FF000000"/>
      <name val="Calibri"/>
      <scheme val="minor"/>
    </font>
    <font>
      <strike/>
      <sz val="11"/>
      <color rgb="FFFF0000"/>
      <name val="Calibri"/>
      <family val="2"/>
      <scheme val="minor"/>
    </font>
    <font>
      <u/>
      <sz val="11"/>
      <color theme="1"/>
      <name val="Calibri"/>
      <family val="2"/>
      <scheme val="minor"/>
    </font>
    <font>
      <strike/>
      <sz val="11"/>
      <color theme="9" tint="-0.499984740745262"/>
      <name val="Calibri"/>
      <family val="2"/>
      <scheme val="minor"/>
    </font>
    <font>
      <sz val="11"/>
      <color theme="9" tint="-0.499984740745262"/>
      <name val="Calibri"/>
      <family val="2"/>
      <scheme val="minor"/>
    </font>
    <font>
      <strike/>
      <sz val="11"/>
      <color theme="9" tint="-0.249977111117893"/>
      <name val="Calibri"/>
      <family val="2"/>
      <scheme val="minor"/>
    </font>
    <font>
      <strike/>
      <u/>
      <sz val="11"/>
      <color theme="9" tint="-0.249977111117893"/>
      <name val="Calibri"/>
      <family val="2"/>
      <scheme val="minor"/>
    </font>
    <font>
      <sz val="11"/>
      <color theme="9" tint="-0.249977111117893"/>
      <name val="Calibri"/>
      <family val="2"/>
      <scheme val="minor"/>
    </font>
    <font>
      <u/>
      <sz val="11"/>
      <color theme="9" tint="-0.249977111117893"/>
      <name val="Calibri"/>
      <family val="2"/>
      <scheme val="minor"/>
    </font>
    <font>
      <sz val="11"/>
      <color theme="9" tint="-0.249977111117893"/>
      <name val="Calibri"/>
      <scheme val="minor"/>
    </font>
    <font>
      <b/>
      <sz val="11"/>
      <color theme="9"/>
      <name val="Calibri"/>
      <family val="2"/>
      <scheme val="minor"/>
    </font>
    <font>
      <b/>
      <sz val="11"/>
      <color theme="5" tint="0.39997558519241921"/>
      <name val="Calibri"/>
      <family val="2"/>
      <scheme val="minor"/>
    </font>
    <font>
      <b/>
      <sz val="11"/>
      <color rgb="FF70AD47"/>
      <name val="Calibri"/>
      <scheme val="minor"/>
    </font>
    <font>
      <sz val="11"/>
      <color rgb="FF70AD47"/>
      <name val="Calibri"/>
      <scheme val="minor"/>
    </font>
  </fonts>
  <fills count="8">
    <fill>
      <patternFill patternType="none"/>
    </fill>
    <fill>
      <patternFill patternType="gray125"/>
    </fill>
    <fill>
      <patternFill patternType="solid">
        <fgColor theme="4" tint="0.79998168889431442"/>
        <bgColor indexed="64"/>
      </patternFill>
    </fill>
    <fill>
      <patternFill patternType="solid">
        <fgColor theme="4"/>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79998168889431442"/>
        <bgColor indexed="64"/>
      </patternFill>
    </fill>
  </fills>
  <borders count="1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0" fontId="3" fillId="0" borderId="0" applyNumberFormat="0" applyFill="0" applyBorder="0" applyAlignment="0" applyProtection="0"/>
    <xf numFmtId="0" fontId="3" fillId="0" borderId="0" applyNumberFormat="0" applyFill="0" applyBorder="0" applyAlignment="0" applyProtection="0"/>
  </cellStyleXfs>
  <cellXfs count="360">
    <xf numFmtId="0" fontId="0" fillId="0" borderId="0" xfId="0"/>
    <xf numFmtId="0" fontId="0" fillId="0" borderId="0" xfId="0" applyAlignment="1">
      <alignment wrapText="1"/>
    </xf>
    <xf numFmtId="0" fontId="0" fillId="0" borderId="0" xfId="0" applyAlignment="1">
      <alignment horizontal="left"/>
    </xf>
    <xf numFmtId="0" fontId="4" fillId="0" borderId="0" xfId="0" applyFont="1" applyAlignment="1">
      <alignment horizontal="left" wrapText="1"/>
    </xf>
    <xf numFmtId="0" fontId="0" fillId="0" borderId="2" xfId="0" applyBorder="1" applyAlignment="1">
      <alignment horizontal="left"/>
    </xf>
    <xf numFmtId="0" fontId="3" fillId="0" borderId="0" xfId="1" applyBorder="1" applyAlignment="1">
      <alignment horizontal="left" wrapText="1"/>
    </xf>
    <xf numFmtId="0" fontId="0" fillId="0" borderId="7" xfId="0" applyBorder="1" applyAlignment="1">
      <alignment horizontal="left"/>
    </xf>
    <xf numFmtId="0" fontId="0" fillId="0" borderId="1" xfId="0" applyBorder="1"/>
    <xf numFmtId="0" fontId="0" fillId="0" borderId="2" xfId="0" applyBorder="1"/>
    <xf numFmtId="0" fontId="0" fillId="0" borderId="4" xfId="0" applyBorder="1"/>
    <xf numFmtId="0" fontId="0" fillId="0" borderId="7" xfId="0" applyBorder="1"/>
    <xf numFmtId="0" fontId="4" fillId="0" borderId="9" xfId="0" applyFont="1" applyBorder="1" applyAlignment="1">
      <alignment horizontal="left" wrapText="1"/>
    </xf>
    <xf numFmtId="0" fontId="4" fillId="0" borderId="9" xfId="0" applyFont="1" applyBorder="1" applyAlignment="1">
      <alignment horizontal="left"/>
    </xf>
    <xf numFmtId="0" fontId="3" fillId="0" borderId="0" xfId="1" applyBorder="1" applyAlignment="1">
      <alignment wrapText="1"/>
    </xf>
    <xf numFmtId="0" fontId="4" fillId="0" borderId="9" xfId="0" applyFont="1" applyBorder="1" applyAlignment="1">
      <alignment wrapText="1"/>
    </xf>
    <xf numFmtId="0" fontId="0" fillId="0" borderId="5" xfId="0" applyBorder="1"/>
    <xf numFmtId="0" fontId="0" fillId="0" borderId="2" xfId="0" applyBorder="1" applyAlignment="1">
      <alignment wrapText="1"/>
    </xf>
    <xf numFmtId="0" fontId="0" fillId="0" borderId="3" xfId="0" applyBorder="1"/>
    <xf numFmtId="0" fontId="3" fillId="0" borderId="0" xfId="1" applyBorder="1" applyAlignment="1">
      <alignment horizontal="left" vertical="center" wrapText="1"/>
    </xf>
    <xf numFmtId="0" fontId="0" fillId="0" borderId="6" xfId="0" applyBorder="1"/>
    <xf numFmtId="0" fontId="11" fillId="0" borderId="2" xfId="0" applyFont="1" applyBorder="1" applyAlignment="1">
      <alignment horizontal="left" wrapText="1"/>
    </xf>
    <xf numFmtId="0" fontId="11" fillId="0" borderId="0" xfId="0" applyFont="1" applyAlignment="1">
      <alignment horizontal="left" wrapText="1"/>
    </xf>
    <xf numFmtId="0" fontId="0" fillId="0" borderId="8" xfId="0" applyBorder="1"/>
    <xf numFmtId="0" fontId="12" fillId="0" borderId="2" xfId="0" applyFont="1" applyBorder="1"/>
    <xf numFmtId="0" fontId="0" fillId="0" borderId="0" xfId="0" applyAlignment="1">
      <alignment horizontal="left" vertical="top"/>
    </xf>
    <xf numFmtId="0" fontId="3" fillId="0" borderId="0" xfId="1" applyAlignment="1">
      <alignment wrapText="1"/>
    </xf>
    <xf numFmtId="0" fontId="12" fillId="0" borderId="0" xfId="0" applyFont="1" applyAlignment="1">
      <alignment wrapText="1"/>
    </xf>
    <xf numFmtId="0" fontId="3" fillId="0" borderId="0" xfId="1" applyBorder="1" applyAlignment="1">
      <alignment horizontal="center" vertical="top" wrapText="1"/>
    </xf>
    <xf numFmtId="0" fontId="3" fillId="0" borderId="2" xfId="1" applyBorder="1" applyAlignment="1">
      <alignment horizontal="left" wrapText="1"/>
    </xf>
    <xf numFmtId="0" fontId="0" fillId="0" borderId="0" xfId="0" applyAlignment="1">
      <alignment horizontal="center" wrapText="1"/>
    </xf>
    <xf numFmtId="0" fontId="3" fillId="0" borderId="0" xfId="1" applyBorder="1" applyAlignment="1">
      <alignment horizontal="left" vertical="top" wrapText="1"/>
    </xf>
    <xf numFmtId="0" fontId="4" fillId="2" borderId="9" xfId="0" applyFont="1" applyFill="1" applyBorder="1" applyAlignment="1">
      <alignment wrapText="1"/>
    </xf>
    <xf numFmtId="0" fontId="0" fillId="2" borderId="0" xfId="0" applyFill="1"/>
    <xf numFmtId="0" fontId="4" fillId="2" borderId="0" xfId="0" applyFont="1" applyFill="1" applyAlignment="1">
      <alignment wrapText="1"/>
    </xf>
    <xf numFmtId="0" fontId="3" fillId="0" borderId="0" xfId="1" applyBorder="1" applyAlignment="1">
      <alignment horizontal="left" vertical="top"/>
    </xf>
    <xf numFmtId="0" fontId="3" fillId="0" borderId="0" xfId="1" applyBorder="1" applyAlignment="1">
      <alignment horizontal="center"/>
    </xf>
    <xf numFmtId="0" fontId="0" fillId="0" borderId="0" xfId="0" applyAlignment="1">
      <alignment horizontal="left" wrapText="1"/>
    </xf>
    <xf numFmtId="14" fontId="0" fillId="0" borderId="0" xfId="0" applyNumberFormat="1"/>
    <xf numFmtId="164" fontId="0" fillId="0" borderId="0" xfId="0" applyNumberFormat="1"/>
    <xf numFmtId="0" fontId="15" fillId="0" borderId="0" xfId="0" applyFont="1"/>
    <xf numFmtId="0" fontId="3" fillId="0" borderId="0" xfId="1" applyFill="1" applyBorder="1" applyAlignment="1">
      <alignment horizontal="left" wrapText="1"/>
    </xf>
    <xf numFmtId="0" fontId="4" fillId="0" borderId="9" xfId="0" applyFont="1" applyBorder="1" applyAlignment="1">
      <alignment horizontal="left" vertical="top" wrapText="1"/>
    </xf>
    <xf numFmtId="0" fontId="4" fillId="0" borderId="9" xfId="0" applyFont="1" applyBorder="1" applyAlignment="1">
      <alignment vertical="top" wrapText="1"/>
    </xf>
    <xf numFmtId="0" fontId="0" fillId="0" borderId="0" xfId="0" applyAlignment="1">
      <alignment vertical="top" wrapText="1"/>
    </xf>
    <xf numFmtId="0" fontId="4" fillId="0" borderId="0" xfId="0" applyFont="1" applyAlignment="1">
      <alignment vertical="top" wrapText="1"/>
    </xf>
    <xf numFmtId="0" fontId="0" fillId="3" borderId="0" xfId="0" applyFill="1"/>
    <xf numFmtId="165" fontId="0" fillId="0" borderId="0" xfId="0" applyNumberFormat="1"/>
    <xf numFmtId="0" fontId="0" fillId="3" borderId="0" xfId="0" applyFill="1" applyAlignment="1">
      <alignment wrapText="1"/>
    </xf>
    <xf numFmtId="0" fontId="0" fillId="0" borderId="0" xfId="0" applyAlignment="1">
      <alignment horizontal="center"/>
    </xf>
    <xf numFmtId="0" fontId="0" fillId="0" borderId="0" xfId="0" applyAlignment="1">
      <alignment horizontal="left" vertical="top" wrapText="1"/>
    </xf>
    <xf numFmtId="0" fontId="13" fillId="0" borderId="0" xfId="0" applyFont="1"/>
    <xf numFmtId="16" fontId="0" fillId="3" borderId="0" xfId="0" applyNumberFormat="1" applyFill="1"/>
    <xf numFmtId="0" fontId="0" fillId="3" borderId="0" xfId="0" applyFill="1" applyAlignment="1">
      <alignment horizontal="center" wrapText="1"/>
    </xf>
    <xf numFmtId="0" fontId="3" fillId="0" borderId="0" xfId="1" applyAlignment="1">
      <alignment vertical="top" wrapText="1"/>
    </xf>
    <xf numFmtId="0" fontId="0" fillId="2" borderId="0" xfId="0" applyFill="1" applyAlignment="1">
      <alignment wrapText="1"/>
    </xf>
    <xf numFmtId="0" fontId="5" fillId="2" borderId="0" xfId="0" applyFont="1" applyFill="1" applyAlignment="1">
      <alignment wrapText="1"/>
    </xf>
    <xf numFmtId="14" fontId="0" fillId="0" borderId="0" xfId="0" applyNumberFormat="1" applyAlignment="1">
      <alignment horizontal="left"/>
    </xf>
    <xf numFmtId="164" fontId="0" fillId="0" borderId="0" xfId="0" applyNumberFormat="1" applyAlignment="1">
      <alignment horizontal="left"/>
    </xf>
    <xf numFmtId="8" fontId="0" fillId="0" borderId="0" xfId="0" applyNumberFormat="1" applyAlignment="1">
      <alignment horizontal="left"/>
    </xf>
    <xf numFmtId="0" fontId="0" fillId="2" borderId="0" xfId="0" applyFill="1" applyAlignment="1">
      <alignment horizontal="left" vertical="top" wrapText="1"/>
    </xf>
    <xf numFmtId="0" fontId="0" fillId="2" borderId="0" xfId="0" applyFill="1" applyAlignment="1">
      <alignment horizontal="left" vertical="top"/>
    </xf>
    <xf numFmtId="3" fontId="0" fillId="0" borderId="0" xfId="0" applyNumberFormat="1"/>
    <xf numFmtId="0" fontId="13" fillId="0" borderId="0" xfId="0" applyFont="1" applyAlignment="1">
      <alignment vertical="top" wrapText="1"/>
    </xf>
    <xf numFmtId="0" fontId="6" fillId="2" borderId="0" xfId="0" applyFont="1" applyFill="1" applyAlignment="1">
      <alignment wrapText="1"/>
    </xf>
    <xf numFmtId="0" fontId="7" fillId="0" borderId="0" xfId="0" applyFont="1" applyAlignment="1">
      <alignment wrapText="1"/>
    </xf>
    <xf numFmtId="0" fontId="6" fillId="2" borderId="0" xfId="0" applyFont="1" applyFill="1" applyAlignment="1">
      <alignment horizontal="left" vertical="top" wrapText="1"/>
    </xf>
    <xf numFmtId="0" fontId="6" fillId="2" borderId="0" xfId="0" applyFont="1" applyFill="1" applyAlignment="1">
      <alignment horizontal="left" vertical="top"/>
    </xf>
    <xf numFmtId="0" fontId="8" fillId="0" borderId="0" xfId="0" applyFont="1" applyAlignment="1">
      <alignment vertical="top" wrapText="1"/>
    </xf>
    <xf numFmtId="0" fontId="0" fillId="2" borderId="0" xfId="0" applyFill="1" applyAlignment="1">
      <alignment horizontal="left" vertical="center" wrapText="1"/>
    </xf>
    <xf numFmtId="14" fontId="0" fillId="0" borderId="0" xfId="0" applyNumberFormat="1" applyAlignment="1">
      <alignment wrapText="1"/>
    </xf>
    <xf numFmtId="0" fontId="5" fillId="2" borderId="0" xfId="0" applyFont="1" applyFill="1"/>
    <xf numFmtId="0" fontId="10" fillId="0" borderId="0" xfId="0" applyFont="1"/>
    <xf numFmtId="0" fontId="5" fillId="0" borderId="0" xfId="0" applyFont="1"/>
    <xf numFmtId="0" fontId="9" fillId="0" borderId="0" xfId="0" applyFont="1" applyAlignment="1">
      <alignment wrapText="1"/>
    </xf>
    <xf numFmtId="0" fontId="14" fillId="2" borderId="0" xfId="0" applyFont="1" applyFill="1"/>
    <xf numFmtId="0" fontId="16" fillId="0" borderId="0" xfId="0" applyFont="1"/>
    <xf numFmtId="0" fontId="17" fillId="0" borderId="0" xfId="0" applyFont="1" applyAlignment="1">
      <alignment wrapText="1"/>
    </xf>
    <xf numFmtId="0" fontId="14" fillId="0" borderId="0" xfId="0" applyFont="1"/>
    <xf numFmtId="0" fontId="5" fillId="0" borderId="0" xfId="0" applyFont="1" applyAlignment="1">
      <alignment wrapText="1"/>
    </xf>
    <xf numFmtId="0" fontId="18" fillId="0" borderId="0" xfId="0" applyFont="1" applyAlignment="1">
      <alignment vertical="top" wrapText="1"/>
    </xf>
    <xf numFmtId="0" fontId="19" fillId="0" borderId="0" xfId="1" applyFont="1" applyFill="1" applyBorder="1" applyAlignment="1">
      <alignment vertical="top" wrapText="1"/>
    </xf>
    <xf numFmtId="14" fontId="18" fillId="0" borderId="0" xfId="0" applyNumberFormat="1" applyFont="1" applyAlignment="1">
      <alignment vertical="top" wrapText="1"/>
    </xf>
    <xf numFmtId="8" fontId="18" fillId="0" borderId="0" xfId="0" applyNumberFormat="1" applyFont="1" applyAlignment="1">
      <alignment vertical="top" wrapText="1"/>
    </xf>
    <xf numFmtId="0" fontId="19" fillId="0" borderId="0" xfId="1" applyFont="1" applyBorder="1" applyAlignment="1">
      <alignment vertical="top" wrapText="1"/>
    </xf>
    <xf numFmtId="164" fontId="18" fillId="0" borderId="0" xfId="0" applyNumberFormat="1" applyFont="1" applyAlignment="1">
      <alignment vertical="top" wrapText="1"/>
    </xf>
    <xf numFmtId="3" fontId="18" fillId="0" borderId="0" xfId="0" applyNumberFormat="1" applyFont="1" applyAlignment="1">
      <alignment vertical="top" wrapText="1"/>
    </xf>
    <xf numFmtId="0" fontId="20" fillId="0" borderId="0" xfId="0" applyFont="1" applyAlignment="1">
      <alignment vertical="top" wrapText="1"/>
    </xf>
    <xf numFmtId="0" fontId="21" fillId="0" borderId="0" xfId="0" applyFont="1" applyAlignment="1">
      <alignment vertical="top" wrapText="1"/>
    </xf>
    <xf numFmtId="16" fontId="18" fillId="0" borderId="0" xfId="0" applyNumberFormat="1" applyFont="1" applyAlignment="1">
      <alignment vertical="top" wrapText="1"/>
    </xf>
    <xf numFmtId="0" fontId="22" fillId="0" borderId="0" xfId="0" applyFont="1" applyAlignment="1">
      <alignment vertical="top" wrapText="1"/>
    </xf>
    <xf numFmtId="0" fontId="23" fillId="0" borderId="0" xfId="0" applyFont="1" applyAlignment="1">
      <alignment vertical="top" wrapText="1"/>
    </xf>
    <xf numFmtId="165" fontId="18" fillId="0" borderId="0" xfId="0" applyNumberFormat="1" applyFont="1" applyAlignment="1">
      <alignment vertical="top" wrapText="1"/>
    </xf>
    <xf numFmtId="0" fontId="4" fillId="0" borderId="3" xfId="0" applyFont="1" applyBorder="1" applyAlignment="1">
      <alignment vertical="top" wrapText="1"/>
    </xf>
    <xf numFmtId="0" fontId="4" fillId="0" borderId="1" xfId="0" applyFont="1" applyBorder="1" applyAlignment="1">
      <alignment vertical="top" wrapText="1"/>
    </xf>
    <xf numFmtId="0" fontId="24" fillId="0" borderId="0" xfId="0" applyFont="1" applyAlignment="1">
      <alignment vertical="top" wrapText="1"/>
    </xf>
    <xf numFmtId="0" fontId="18" fillId="0" borderId="0" xfId="0" applyFont="1" applyAlignment="1">
      <alignment vertical="center" wrapText="1"/>
    </xf>
    <xf numFmtId="0" fontId="20" fillId="0" borderId="0" xfId="0" applyFont="1" applyAlignment="1">
      <alignment horizontal="left" vertical="center" wrapText="1"/>
    </xf>
    <xf numFmtId="0" fontId="20" fillId="0" borderId="0" xfId="0" applyFont="1" applyAlignment="1">
      <alignment vertical="center" wrapText="1"/>
    </xf>
    <xf numFmtId="0" fontId="3" fillId="0" borderId="0" xfId="1" applyFill="1" applyAlignment="1">
      <alignment vertical="top" wrapText="1"/>
    </xf>
    <xf numFmtId="0" fontId="25" fillId="0" borderId="0" xfId="0" applyFont="1" applyAlignment="1">
      <alignment vertical="top" wrapText="1"/>
    </xf>
    <xf numFmtId="0" fontId="27" fillId="0" borderId="0" xfId="0" applyFont="1"/>
    <xf numFmtId="0" fontId="27" fillId="0" borderId="0" xfId="0" applyFont="1" applyAlignment="1">
      <alignment horizontal="left" vertical="top"/>
    </xf>
    <xf numFmtId="0" fontId="26" fillId="0" borderId="0" xfId="0" applyFont="1" applyAlignment="1">
      <alignment vertical="top" wrapText="1"/>
    </xf>
    <xf numFmtId="0" fontId="27" fillId="0" borderId="0" xfId="0" applyFont="1" applyAlignment="1">
      <alignment vertical="top" wrapText="1"/>
    </xf>
    <xf numFmtId="0" fontId="3" fillId="0" borderId="0" xfId="1" applyFill="1" applyBorder="1" applyAlignment="1">
      <alignment vertical="top" wrapText="1"/>
    </xf>
    <xf numFmtId="0" fontId="28" fillId="0" borderId="0" xfId="0" applyFont="1" applyAlignment="1">
      <alignment vertical="top" wrapText="1"/>
    </xf>
    <xf numFmtId="0" fontId="0" fillId="0" borderId="0" xfId="0" applyAlignment="1">
      <alignment vertical="top"/>
    </xf>
    <xf numFmtId="0" fontId="0" fillId="4" borderId="0" xfId="0" applyFill="1" applyAlignment="1">
      <alignment horizontal="left" vertical="top"/>
    </xf>
    <xf numFmtId="0" fontId="31" fillId="0" borderId="0" xfId="0" applyFont="1"/>
    <xf numFmtId="0" fontId="0" fillId="4" borderId="0" xfId="0" applyFill="1" applyAlignment="1">
      <alignment horizontal="left" vertical="top" wrapText="1"/>
    </xf>
    <xf numFmtId="0" fontId="31" fillId="0" borderId="0" xfId="0" applyFont="1" applyAlignment="1">
      <alignment vertical="top"/>
    </xf>
    <xf numFmtId="0" fontId="4" fillId="0" borderId="0" xfId="0" applyFont="1" applyAlignment="1">
      <alignment vertical="top"/>
    </xf>
    <xf numFmtId="0" fontId="29" fillId="0" borderId="0" xfId="0" applyFont="1" applyAlignment="1">
      <alignment vertical="top" wrapText="1"/>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xf numFmtId="0" fontId="3" fillId="0" borderId="0" xfId="2" applyBorder="1" applyAlignment="1">
      <alignment horizontal="left" vertical="center" wrapText="1"/>
    </xf>
    <xf numFmtId="14" fontId="0" fillId="0" borderId="0" xfId="0" applyNumberFormat="1" applyAlignment="1">
      <alignment horizontal="center" vertical="center"/>
    </xf>
    <xf numFmtId="166" fontId="0" fillId="0" borderId="0" xfId="0" applyNumberFormat="1" applyAlignment="1">
      <alignment horizontal="center" vertical="center"/>
    </xf>
    <xf numFmtId="0" fontId="0" fillId="0" borderId="0" xfId="0" applyAlignment="1">
      <alignment horizontal="left" vertical="center"/>
    </xf>
    <xf numFmtId="0" fontId="12" fillId="0" borderId="0" xfId="0" applyFont="1" applyAlignment="1">
      <alignment vertical="top"/>
    </xf>
    <xf numFmtId="0" fontId="12" fillId="0" borderId="0" xfId="0" applyFont="1" applyAlignment="1">
      <alignment vertical="top" wrapText="1"/>
    </xf>
    <xf numFmtId="0" fontId="35" fillId="0" borderId="0" xfId="0" applyFont="1" applyAlignment="1">
      <alignment vertical="top"/>
    </xf>
    <xf numFmtId="0" fontId="4" fillId="0" borderId="0" xfId="0" applyFont="1" applyAlignment="1">
      <alignment horizontal="left" vertical="top" wrapText="1"/>
    </xf>
    <xf numFmtId="0" fontId="29" fillId="0" borderId="0" xfId="0" applyFont="1" applyAlignment="1">
      <alignment horizontal="left" vertical="top" wrapText="1"/>
    </xf>
    <xf numFmtId="0" fontId="31" fillId="0" borderId="0" xfId="0" applyFont="1" applyAlignment="1">
      <alignment horizontal="left" vertical="top" wrapText="1"/>
    </xf>
    <xf numFmtId="17" fontId="0" fillId="0" borderId="0" xfId="0" applyNumberFormat="1" applyAlignment="1">
      <alignment horizontal="left" vertical="top" wrapText="1"/>
    </xf>
    <xf numFmtId="0" fontId="8" fillId="4" borderId="0" xfId="0" applyFont="1" applyFill="1" applyAlignment="1">
      <alignment horizontal="left" vertical="top" wrapText="1"/>
    </xf>
    <xf numFmtId="0" fontId="22" fillId="4" borderId="0" xfId="0" applyFont="1" applyFill="1" applyAlignment="1">
      <alignment horizontal="left" vertical="top" wrapText="1"/>
    </xf>
    <xf numFmtId="0" fontId="3" fillId="4" borderId="0" xfId="2" applyFill="1" applyBorder="1" applyAlignment="1">
      <alignment horizontal="left" vertical="top" wrapText="1"/>
    </xf>
    <xf numFmtId="14" fontId="0" fillId="4" borderId="0" xfId="0" applyNumberFormat="1" applyFill="1" applyAlignment="1">
      <alignment horizontal="left" vertical="top"/>
    </xf>
    <xf numFmtId="0" fontId="36" fillId="0" borderId="0" xfId="0" applyFont="1" applyAlignment="1">
      <alignment vertical="top" wrapText="1"/>
    </xf>
    <xf numFmtId="0" fontId="18" fillId="5" borderId="0" xfId="0" applyFont="1" applyFill="1" applyAlignment="1">
      <alignment vertical="top" wrapText="1"/>
    </xf>
    <xf numFmtId="0" fontId="19" fillId="5" borderId="0" xfId="1" applyFont="1" applyFill="1" applyBorder="1" applyAlignment="1">
      <alignment vertical="top" wrapText="1"/>
    </xf>
    <xf numFmtId="14" fontId="18" fillId="5" borderId="0" xfId="0" applyNumberFormat="1" applyFont="1" applyFill="1" applyAlignment="1">
      <alignment vertical="top" wrapText="1"/>
    </xf>
    <xf numFmtId="0" fontId="0" fillId="5" borderId="0" xfId="0" applyFill="1"/>
    <xf numFmtId="0" fontId="3" fillId="5" borderId="0" xfId="1" applyFill="1" applyAlignment="1">
      <alignment vertical="top" wrapText="1"/>
    </xf>
    <xf numFmtId="0" fontId="0" fillId="5" borderId="0" xfId="0" applyFill="1" applyAlignment="1">
      <alignment vertical="top"/>
    </xf>
    <xf numFmtId="0" fontId="0" fillId="5" borderId="0" xfId="0" applyFill="1" applyAlignment="1">
      <alignment vertical="top" wrapText="1"/>
    </xf>
    <xf numFmtId="0" fontId="3" fillId="5" borderId="0" xfId="1" applyFill="1" applyAlignment="1">
      <alignment wrapText="1"/>
    </xf>
    <xf numFmtId="0" fontId="38" fillId="0" borderId="0" xfId="0" applyFont="1" applyAlignment="1">
      <alignment vertical="top" wrapText="1"/>
    </xf>
    <xf numFmtId="0" fontId="37" fillId="0" borderId="0" xfId="1" applyFont="1" applyBorder="1" applyAlignment="1">
      <alignment vertical="top" wrapText="1"/>
    </xf>
    <xf numFmtId="0" fontId="39" fillId="0" borderId="0" xfId="0" applyFont="1" applyAlignment="1">
      <alignment vertical="top" wrapText="1"/>
    </xf>
    <xf numFmtId="14" fontId="36" fillId="0" borderId="0" xfId="0" applyNumberFormat="1" applyFont="1" applyAlignment="1">
      <alignment vertical="top" wrapText="1"/>
    </xf>
    <xf numFmtId="165" fontId="36" fillId="0" borderId="0" xfId="0" applyNumberFormat="1" applyFont="1" applyAlignment="1">
      <alignment vertical="top" wrapText="1"/>
    </xf>
    <xf numFmtId="0" fontId="18" fillId="5" borderId="0" xfId="0" applyFont="1" applyFill="1" applyAlignment="1">
      <alignment horizontal="left" vertical="top" wrapText="1"/>
    </xf>
    <xf numFmtId="0" fontId="19" fillId="5" borderId="0" xfId="1" applyFont="1" applyFill="1" applyBorder="1" applyAlignment="1">
      <alignment horizontal="left" vertical="top" wrapText="1"/>
    </xf>
    <xf numFmtId="0" fontId="0" fillId="5" borderId="0" xfId="0" applyFill="1" applyAlignment="1">
      <alignment horizontal="left" vertical="top"/>
    </xf>
    <xf numFmtId="0" fontId="8" fillId="5" borderId="0" xfId="0" applyFont="1" applyFill="1" applyAlignment="1">
      <alignment vertical="top" wrapText="1"/>
    </xf>
    <xf numFmtId="14" fontId="0" fillId="5" borderId="0" xfId="0" applyNumberFormat="1" applyFill="1" applyAlignment="1">
      <alignment vertical="top" wrapText="1"/>
    </xf>
    <xf numFmtId="16" fontId="0" fillId="5" borderId="0" xfId="0" applyNumberFormat="1" applyFill="1" applyAlignment="1">
      <alignment vertical="top"/>
    </xf>
    <xf numFmtId="0" fontId="31" fillId="6" borderId="0" xfId="0" applyFont="1" applyFill="1" applyAlignment="1">
      <alignment horizontal="left" vertical="top"/>
    </xf>
    <xf numFmtId="0" fontId="41" fillId="0" borderId="0" xfId="0" applyFont="1" applyAlignment="1">
      <alignment horizontal="left" vertical="top" wrapText="1"/>
    </xf>
    <xf numFmtId="0" fontId="41" fillId="0" borderId="0" xfId="0" applyFont="1" applyAlignment="1">
      <alignment vertical="top"/>
    </xf>
    <xf numFmtId="0" fontId="31" fillId="0" borderId="0" xfId="0" applyFont="1" applyAlignment="1">
      <alignment horizontal="left" vertical="top"/>
    </xf>
    <xf numFmtId="0" fontId="42" fillId="0" borderId="0" xfId="0" applyFont="1" applyAlignment="1">
      <alignment horizontal="left" vertical="top" wrapText="1"/>
    </xf>
    <xf numFmtId="0" fontId="31" fillId="0" borderId="0" xfId="0" applyFont="1" applyAlignment="1">
      <alignment vertical="top" wrapText="1"/>
    </xf>
    <xf numFmtId="0" fontId="12" fillId="5" borderId="0" xfId="0" applyFont="1" applyFill="1" applyAlignment="1">
      <alignment vertical="top"/>
    </xf>
    <xf numFmtId="0" fontId="12" fillId="5" borderId="0" xfId="0" applyFont="1" applyFill="1" applyAlignment="1">
      <alignment vertical="top" wrapText="1"/>
    </xf>
    <xf numFmtId="0" fontId="43" fillId="5" borderId="0" xfId="0" applyFont="1" applyFill="1" applyAlignment="1">
      <alignment vertical="top" wrapText="1"/>
    </xf>
    <xf numFmtId="0" fontId="44" fillId="5" borderId="0" xfId="1" applyFont="1" applyFill="1" applyAlignment="1">
      <alignment vertical="top" wrapText="1"/>
    </xf>
    <xf numFmtId="0" fontId="3" fillId="5" borderId="0" xfId="1" applyFill="1" applyAlignment="1">
      <alignment vertical="top"/>
    </xf>
    <xf numFmtId="0" fontId="27" fillId="0" borderId="0" xfId="0" applyFont="1" applyAlignment="1">
      <alignment vertical="top"/>
    </xf>
    <xf numFmtId="0" fontId="34" fillId="0" borderId="0" xfId="0" applyFont="1" applyAlignment="1">
      <alignment horizontal="left" vertical="top"/>
    </xf>
    <xf numFmtId="0" fontId="10" fillId="0" borderId="0" xfId="0" applyFont="1" applyAlignment="1">
      <alignment horizontal="left" vertical="top"/>
    </xf>
    <xf numFmtId="0" fontId="3" fillId="0" borderId="0" xfId="1" applyFill="1" applyBorder="1" applyAlignment="1">
      <alignment horizontal="left" vertical="top"/>
    </xf>
    <xf numFmtId="0" fontId="5" fillId="0" borderId="0" xfId="0" applyFont="1" applyAlignment="1">
      <alignment horizontal="left" vertical="top"/>
    </xf>
    <xf numFmtId="0" fontId="40" fillId="0" borderId="0" xfId="0" applyFont="1"/>
    <xf numFmtId="0" fontId="4" fillId="0" borderId="0" xfId="0" applyFont="1"/>
    <xf numFmtId="0" fontId="4" fillId="0" borderId="0" xfId="0" applyFont="1" applyAlignment="1">
      <alignment wrapText="1"/>
    </xf>
    <xf numFmtId="0" fontId="22" fillId="0" borderId="0" xfId="0" applyFont="1" applyAlignment="1">
      <alignment wrapText="1"/>
    </xf>
    <xf numFmtId="16" fontId="0" fillId="0" borderId="0" xfId="0" applyNumberFormat="1" applyAlignment="1">
      <alignment wrapText="1"/>
    </xf>
    <xf numFmtId="0" fontId="46" fillId="0" borderId="0" xfId="0" applyFont="1" applyAlignment="1">
      <alignment wrapText="1"/>
    </xf>
    <xf numFmtId="0" fontId="3" fillId="0" borderId="0" xfId="1" applyFill="1" applyAlignment="1">
      <alignment wrapText="1"/>
    </xf>
    <xf numFmtId="0" fontId="43" fillId="0" borderId="0" xfId="0" applyFont="1" applyAlignment="1">
      <alignment wrapText="1"/>
    </xf>
    <xf numFmtId="0" fontId="47" fillId="0" borderId="0" xfId="0" applyFont="1"/>
    <xf numFmtId="0" fontId="47" fillId="0" borderId="0" xfId="0" applyFont="1" applyAlignment="1">
      <alignment horizontal="left" vertical="top"/>
    </xf>
    <xf numFmtId="164" fontId="4" fillId="0" borderId="0" xfId="0" applyNumberFormat="1" applyFont="1" applyAlignment="1">
      <alignment horizontal="right" vertical="top" wrapText="1"/>
    </xf>
    <xf numFmtId="164" fontId="18" fillId="5" borderId="0" xfId="0" applyNumberFormat="1" applyFont="1" applyFill="1" applyAlignment="1">
      <alignment horizontal="right" vertical="top" wrapText="1"/>
    </xf>
    <xf numFmtId="164" fontId="0" fillId="4" borderId="0" xfId="0" applyNumberFormat="1" applyFill="1" applyAlignment="1">
      <alignment horizontal="right" vertical="top"/>
    </xf>
    <xf numFmtId="164" fontId="18" fillId="4" borderId="0" xfId="0" applyNumberFormat="1" applyFont="1" applyFill="1" applyAlignment="1">
      <alignment horizontal="right" vertical="top" wrapText="1"/>
    </xf>
    <xf numFmtId="164" fontId="0" fillId="5" borderId="0" xfId="0" applyNumberFormat="1" applyFill="1" applyAlignment="1">
      <alignment horizontal="right" vertical="top" wrapText="1"/>
    </xf>
    <xf numFmtId="164" fontId="31" fillId="0" borderId="0" xfId="0" applyNumberFormat="1" applyFont="1" applyAlignment="1">
      <alignment horizontal="right" vertical="top" wrapText="1"/>
    </xf>
    <xf numFmtId="164" fontId="18" fillId="0" borderId="0" xfId="0" applyNumberFormat="1" applyFont="1" applyAlignment="1">
      <alignment horizontal="right" vertical="top" wrapText="1"/>
    </xf>
    <xf numFmtId="0" fontId="18" fillId="0" borderId="0" xfId="0" applyFont="1" applyAlignment="1">
      <alignment horizontal="right" vertical="top" wrapText="1"/>
    </xf>
    <xf numFmtId="164" fontId="4" fillId="0" borderId="0" xfId="0" applyNumberFormat="1" applyFont="1" applyAlignment="1">
      <alignment horizontal="right" vertical="top"/>
    </xf>
    <xf numFmtId="164" fontId="0" fillId="0" borderId="0" xfId="0" applyNumberFormat="1" applyAlignment="1">
      <alignment horizontal="right" vertical="top"/>
    </xf>
    <xf numFmtId="0" fontId="12" fillId="4" borderId="0" xfId="0" applyFont="1" applyFill="1" applyAlignment="1">
      <alignment vertical="top"/>
    </xf>
    <xf numFmtId="14" fontId="35" fillId="5" borderId="0" xfId="0" applyNumberFormat="1" applyFont="1" applyFill="1" applyAlignment="1">
      <alignment vertical="top" wrapText="1"/>
    </xf>
    <xf numFmtId="0" fontId="48" fillId="0" borderId="0" xfId="1" applyFont="1" applyFill="1" applyBorder="1" applyAlignment="1">
      <alignment vertical="top" wrapText="1"/>
    </xf>
    <xf numFmtId="0" fontId="49" fillId="0" borderId="0" xfId="0" applyFont="1" applyAlignment="1">
      <alignment vertical="top" wrapText="1"/>
    </xf>
    <xf numFmtId="14" fontId="49" fillId="0" borderId="0" xfId="0" applyNumberFormat="1" applyFont="1" applyAlignment="1">
      <alignment vertical="top" wrapText="1"/>
    </xf>
    <xf numFmtId="164" fontId="49" fillId="0" borderId="0" xfId="0" applyNumberFormat="1" applyFont="1" applyAlignment="1">
      <alignment vertical="top" wrapText="1"/>
    </xf>
    <xf numFmtId="0" fontId="49" fillId="2" borderId="0" xfId="0" applyFont="1" applyFill="1"/>
    <xf numFmtId="0" fontId="49" fillId="0" borderId="0" xfId="0" applyFont="1"/>
    <xf numFmtId="0" fontId="48" fillId="0" borderId="0" xfId="1" applyFont="1" applyBorder="1" applyAlignment="1">
      <alignment wrapText="1"/>
    </xf>
    <xf numFmtId="14" fontId="49" fillId="0" borderId="0" xfId="0" applyNumberFormat="1" applyFont="1"/>
    <xf numFmtId="164" fontId="49" fillId="0" borderId="0" xfId="0" applyNumberFormat="1" applyFont="1"/>
    <xf numFmtId="0" fontId="49" fillId="0" borderId="0" xfId="0" applyFont="1" applyAlignment="1">
      <alignment horizontal="left"/>
    </xf>
    <xf numFmtId="0" fontId="34" fillId="0" borderId="0" xfId="0" applyFont="1" applyAlignment="1">
      <alignment vertical="top"/>
    </xf>
    <xf numFmtId="3" fontId="49" fillId="0" borderId="0" xfId="0" applyNumberFormat="1" applyFont="1" applyAlignment="1">
      <alignment vertical="top" wrapText="1"/>
    </xf>
    <xf numFmtId="0" fontId="48" fillId="0" borderId="0" xfId="1" applyFont="1" applyBorder="1" applyAlignment="1">
      <alignment horizontal="left" vertical="top"/>
    </xf>
    <xf numFmtId="3" fontId="49" fillId="0" borderId="0" xfId="0" applyNumberFormat="1" applyFont="1"/>
    <xf numFmtId="0" fontId="49" fillId="0" borderId="0" xfId="0" applyFont="1" applyAlignment="1">
      <alignment horizontal="left" wrapText="1"/>
    </xf>
    <xf numFmtId="164" fontId="49" fillId="5" borderId="0" xfId="0" applyNumberFormat="1" applyFont="1" applyFill="1" applyAlignment="1">
      <alignment horizontal="right" vertical="top"/>
    </xf>
    <xf numFmtId="14" fontId="0" fillId="0" borderId="0" xfId="0" applyNumberFormat="1" applyAlignment="1">
      <alignment vertical="top"/>
    </xf>
    <xf numFmtId="0" fontId="18" fillId="0" borderId="0" xfId="1" applyFont="1" applyFill="1" applyBorder="1" applyAlignment="1">
      <alignment vertical="top" wrapText="1"/>
    </xf>
    <xf numFmtId="0" fontId="47" fillId="0" borderId="0" xfId="0" applyFont="1" applyAlignment="1">
      <alignment horizontal="left" vertical="top" wrapText="1"/>
    </xf>
    <xf numFmtId="0" fontId="2" fillId="0" borderId="0" xfId="0" applyFont="1" applyAlignment="1">
      <alignment horizontal="left" vertical="top"/>
    </xf>
    <xf numFmtId="0" fontId="3" fillId="0" borderId="0" xfId="1" applyFill="1" applyAlignment="1">
      <alignment horizontal="left" vertical="top" wrapText="1"/>
    </xf>
    <xf numFmtId="164" fontId="47" fillId="0" borderId="0" xfId="0" applyNumberFormat="1" applyFont="1" applyAlignment="1">
      <alignment horizontal="left" vertical="center"/>
    </xf>
    <xf numFmtId="16" fontId="18" fillId="5" borderId="0" xfId="0" applyNumberFormat="1" applyFont="1" applyFill="1" applyAlignment="1">
      <alignment vertical="top" wrapText="1"/>
    </xf>
    <xf numFmtId="0" fontId="2" fillId="0" borderId="0" xfId="0" applyFont="1" applyAlignment="1">
      <alignment horizontal="left" vertical="top" wrapText="1"/>
    </xf>
    <xf numFmtId="164" fontId="2" fillId="0" borderId="0" xfId="0" applyNumberFormat="1" applyFont="1" applyAlignment="1">
      <alignment horizontal="left" vertical="center"/>
    </xf>
    <xf numFmtId="164" fontId="2" fillId="0" borderId="0" xfId="0" applyNumberFormat="1" applyFont="1" applyAlignment="1">
      <alignment horizontal="right" vertical="center"/>
    </xf>
    <xf numFmtId="0" fontId="2" fillId="0" borderId="0" xfId="0" applyFont="1"/>
    <xf numFmtId="164" fontId="0" fillId="0" borderId="0" xfId="0" applyNumberFormat="1" applyAlignment="1">
      <alignment horizontal="right" vertical="center"/>
    </xf>
    <xf numFmtId="164" fontId="0" fillId="0" borderId="0" xfId="0" applyNumberFormat="1" applyAlignment="1">
      <alignment horizontal="left" vertical="center"/>
    </xf>
    <xf numFmtId="0" fontId="50" fillId="0" borderId="0" xfId="1" applyFont="1" applyFill="1" applyBorder="1" applyAlignment="1">
      <alignment horizontal="left" vertical="top" wrapText="1"/>
    </xf>
    <xf numFmtId="0" fontId="52" fillId="0" borderId="0" xfId="0" applyFont="1" applyAlignment="1">
      <alignment horizontal="left" vertical="top" wrapText="1"/>
    </xf>
    <xf numFmtId="0" fontId="22" fillId="0" borderId="0" xfId="0" applyFont="1" applyAlignment="1">
      <alignment horizontal="left" vertical="top" wrapText="1"/>
    </xf>
    <xf numFmtId="0" fontId="53" fillId="0" borderId="0" xfId="1" applyFont="1" applyFill="1" applyBorder="1" applyAlignment="1">
      <alignment vertical="top" wrapText="1"/>
    </xf>
    <xf numFmtId="3" fontId="36" fillId="0" borderId="0" xfId="0" applyNumberFormat="1" applyFont="1" applyAlignment="1">
      <alignment vertical="top" wrapText="1"/>
    </xf>
    <xf numFmtId="164" fontId="36" fillId="0" borderId="0" xfId="0" applyNumberFormat="1" applyFont="1" applyAlignment="1">
      <alignment vertical="top" wrapText="1"/>
    </xf>
    <xf numFmtId="0" fontId="54" fillId="0" borderId="0" xfId="0" applyFont="1" applyAlignment="1">
      <alignment vertical="top" wrapText="1"/>
    </xf>
    <xf numFmtId="0" fontId="51" fillId="7" borderId="0" xfId="1" applyFont="1" applyFill="1" applyBorder="1" applyAlignment="1">
      <alignment horizontal="left" vertical="top" wrapText="1"/>
    </xf>
    <xf numFmtId="0" fontId="3" fillId="7" borderId="0" xfId="1" applyFill="1" applyAlignment="1">
      <alignment vertical="top" wrapText="1"/>
    </xf>
    <xf numFmtId="0" fontId="2" fillId="7" borderId="0" xfId="0" applyFont="1" applyFill="1"/>
    <xf numFmtId="0" fontId="50" fillId="7" borderId="0" xfId="1" applyFont="1" applyFill="1" applyBorder="1" applyAlignment="1">
      <alignment horizontal="left" vertical="top" wrapText="1"/>
    </xf>
    <xf numFmtId="164" fontId="0" fillId="7" borderId="0" xfId="0" applyNumberFormat="1" applyFill="1" applyAlignment="1">
      <alignment horizontal="right" vertical="center"/>
    </xf>
    <xf numFmtId="0" fontId="56" fillId="4" borderId="0" xfId="0" applyFont="1" applyFill="1" applyAlignment="1">
      <alignment vertical="top" wrapText="1"/>
    </xf>
    <xf numFmtId="0" fontId="13" fillId="0" borderId="0" xfId="0" applyFont="1" applyAlignment="1">
      <alignment wrapText="1"/>
    </xf>
    <xf numFmtId="0" fontId="3" fillId="7" borderId="0" xfId="1" applyFill="1" applyAlignment="1">
      <alignment horizontal="left" vertical="top" wrapText="1"/>
    </xf>
    <xf numFmtId="164" fontId="47" fillId="0" borderId="0" xfId="0" applyNumberFormat="1" applyFont="1" applyAlignment="1">
      <alignment horizontal="right" vertical="center"/>
    </xf>
    <xf numFmtId="0" fontId="0" fillId="7" borderId="0" xfId="0" applyFill="1" applyAlignment="1">
      <alignment horizontal="left" vertical="top"/>
    </xf>
    <xf numFmtId="0" fontId="22" fillId="7" borderId="0" xfId="0" applyFont="1" applyFill="1" applyAlignment="1">
      <alignment horizontal="left" vertical="top" wrapText="1"/>
    </xf>
    <xf numFmtId="0" fontId="3" fillId="7" borderId="0" xfId="1" applyFill="1" applyAlignment="1">
      <alignment horizontal="left" vertical="top"/>
    </xf>
    <xf numFmtId="0" fontId="27" fillId="0" borderId="0" xfId="0" applyFont="1" applyAlignment="1">
      <alignment horizontal="left" vertical="top" wrapText="1"/>
    </xf>
    <xf numFmtId="0" fontId="58" fillId="0" borderId="0" xfId="0" applyFont="1"/>
    <xf numFmtId="0" fontId="58" fillId="5" borderId="0" xfId="0" applyFont="1" applyFill="1"/>
    <xf numFmtId="0" fontId="59" fillId="0" borderId="0" xfId="0" applyFont="1"/>
    <xf numFmtId="0" fontId="59" fillId="5" borderId="0" xfId="0" applyFont="1" applyFill="1"/>
    <xf numFmtId="0" fontId="57" fillId="5" borderId="0" xfId="1" applyFont="1" applyFill="1" applyBorder="1" applyAlignment="1">
      <alignment vertical="top" wrapText="1"/>
    </xf>
    <xf numFmtId="164" fontId="0" fillId="5" borderId="0" xfId="0" applyNumberFormat="1" applyFill="1" applyAlignment="1">
      <alignment horizontal="right" vertical="top"/>
    </xf>
    <xf numFmtId="0" fontId="59" fillId="0" borderId="0" xfId="0" applyFont="1" applyAlignment="1">
      <alignment horizontal="left" vertical="top"/>
    </xf>
    <xf numFmtId="0" fontId="60" fillId="5" borderId="0" xfId="0" applyFont="1" applyFill="1" applyAlignment="1">
      <alignment vertical="top" wrapText="1"/>
    </xf>
    <xf numFmtId="0" fontId="61" fillId="5" borderId="0" xfId="1" applyFont="1" applyFill="1" applyBorder="1" applyAlignment="1">
      <alignment vertical="top" wrapText="1"/>
    </xf>
    <xf numFmtId="14" fontId="60" fillId="5" borderId="0" xfId="0" applyNumberFormat="1" applyFont="1" applyFill="1" applyAlignment="1">
      <alignment vertical="top" wrapText="1"/>
    </xf>
    <xf numFmtId="164" fontId="60" fillId="5" borderId="0" xfId="0" applyNumberFormat="1" applyFont="1" applyFill="1" applyAlignment="1">
      <alignment horizontal="right" vertical="top" wrapText="1"/>
    </xf>
    <xf numFmtId="0" fontId="60" fillId="0" borderId="0" xfId="0" applyFont="1" applyAlignment="1">
      <alignment vertical="top"/>
    </xf>
    <xf numFmtId="0" fontId="62" fillId="5" borderId="0" xfId="0" applyFont="1" applyFill="1" applyAlignment="1">
      <alignment vertical="top" wrapText="1"/>
    </xf>
    <xf numFmtId="0" fontId="63" fillId="5" borderId="0" xfId="1" applyFont="1" applyFill="1" applyBorder="1" applyAlignment="1">
      <alignment vertical="top" wrapText="1"/>
    </xf>
    <xf numFmtId="14" fontId="62" fillId="5" borderId="0" xfId="0" applyNumberFormat="1" applyFont="1" applyFill="1" applyAlignment="1">
      <alignment vertical="top" wrapText="1"/>
    </xf>
    <xf numFmtId="164" fontId="62" fillId="5" borderId="0" xfId="0" applyNumberFormat="1" applyFont="1" applyFill="1" applyAlignment="1">
      <alignment horizontal="right" vertical="top" wrapText="1"/>
    </xf>
    <xf numFmtId="0" fontId="62" fillId="0" borderId="0" xfId="0" applyFont="1" applyAlignment="1">
      <alignment vertical="top" wrapText="1"/>
    </xf>
    <xf numFmtId="0" fontId="64" fillId="5" borderId="0" xfId="0" applyFont="1" applyFill="1" applyAlignment="1">
      <alignment vertical="top" wrapText="1"/>
    </xf>
    <xf numFmtId="0" fontId="63" fillId="5" borderId="0" xfId="1" applyFont="1" applyFill="1" applyAlignment="1">
      <alignment vertical="top" wrapText="1"/>
    </xf>
    <xf numFmtId="0" fontId="62" fillId="5" borderId="0" xfId="0" applyFont="1" applyFill="1" applyAlignment="1">
      <alignment vertical="top"/>
    </xf>
    <xf numFmtId="0" fontId="62" fillId="0" borderId="0" xfId="0" applyFont="1" applyAlignment="1">
      <alignment vertical="top"/>
    </xf>
    <xf numFmtId="0" fontId="63" fillId="5" borderId="0" xfId="1" applyFont="1" applyFill="1" applyAlignment="1">
      <alignment wrapText="1"/>
    </xf>
    <xf numFmtId="14" fontId="62" fillId="5" borderId="0" xfId="0" applyNumberFormat="1" applyFont="1" applyFill="1" applyAlignment="1">
      <alignment vertical="top"/>
    </xf>
    <xf numFmtId="164" fontId="62" fillId="5" borderId="0" xfId="0" applyNumberFormat="1" applyFont="1" applyFill="1" applyAlignment="1">
      <alignment horizontal="right" vertical="top"/>
    </xf>
    <xf numFmtId="0" fontId="63" fillId="5" borderId="0" xfId="1" applyFont="1" applyFill="1" applyAlignment="1">
      <alignment vertical="top"/>
    </xf>
    <xf numFmtId="0" fontId="63" fillId="0" borderId="0" xfId="1" applyFont="1" applyFill="1" applyAlignment="1">
      <alignment vertical="top" wrapText="1"/>
    </xf>
    <xf numFmtId="16" fontId="62" fillId="0" borderId="0" xfId="0" applyNumberFormat="1" applyFont="1" applyAlignment="1">
      <alignment vertical="top" wrapText="1"/>
    </xf>
    <xf numFmtId="164" fontId="62" fillId="0" borderId="0" xfId="0" applyNumberFormat="1" applyFont="1" applyAlignment="1">
      <alignment horizontal="right" vertical="top" wrapText="1"/>
    </xf>
    <xf numFmtId="0" fontId="63" fillId="0" borderId="0" xfId="1" applyFont="1" applyAlignment="1">
      <alignment wrapText="1"/>
    </xf>
    <xf numFmtId="0" fontId="62" fillId="0" borderId="0" xfId="0" applyFont="1"/>
    <xf numFmtId="14" fontId="62" fillId="0" borderId="0" xfId="0" applyNumberFormat="1" applyFont="1"/>
    <xf numFmtId="0" fontId="53" fillId="0" borderId="0" xfId="1" applyFont="1" applyAlignment="1">
      <alignment vertical="top" wrapText="1"/>
    </xf>
    <xf numFmtId="14" fontId="31" fillId="0" borderId="0" xfId="0" applyNumberFormat="1" applyFont="1" applyAlignment="1">
      <alignment vertical="top"/>
    </xf>
    <xf numFmtId="14" fontId="31" fillId="0" borderId="0" xfId="0" applyNumberFormat="1" applyFont="1" applyAlignment="1">
      <alignment vertical="top" wrapText="1"/>
    </xf>
    <xf numFmtId="8" fontId="0" fillId="0" borderId="0" xfId="0" applyNumberFormat="1" applyAlignment="1">
      <alignment horizontal="right" vertical="top" wrapText="1"/>
    </xf>
    <xf numFmtId="0" fontId="4" fillId="0" borderId="0" xfId="0" applyFont="1" applyAlignment="1">
      <alignment horizontal="left" vertical="top"/>
    </xf>
    <xf numFmtId="0" fontId="31" fillId="0" borderId="0" xfId="0" applyFont="1" applyAlignment="1">
      <alignment wrapText="1"/>
    </xf>
    <xf numFmtId="164" fontId="31" fillId="0" borderId="0" xfId="0" applyNumberFormat="1" applyFont="1" applyAlignment="1">
      <alignment horizontal="left" vertical="top"/>
    </xf>
    <xf numFmtId="0" fontId="65" fillId="0" borderId="0" xfId="0" applyFont="1" applyAlignment="1">
      <alignment wrapText="1"/>
    </xf>
    <xf numFmtId="0" fontId="65" fillId="0" borderId="0" xfId="0" applyFont="1"/>
    <xf numFmtId="0" fontId="65" fillId="0" borderId="0" xfId="0" applyFont="1" applyAlignment="1">
      <alignment horizontal="left" vertical="top" wrapText="1"/>
    </xf>
    <xf numFmtId="0" fontId="3" fillId="0" borderId="0" xfId="1" applyAlignment="1">
      <alignment horizontal="left" vertical="top" wrapText="1"/>
    </xf>
    <xf numFmtId="0" fontId="53" fillId="0" borderId="0" xfId="1" applyFont="1" applyAlignment="1">
      <alignment wrapText="1"/>
    </xf>
    <xf numFmtId="0" fontId="66" fillId="0" borderId="0" xfId="0" applyFont="1" applyAlignment="1">
      <alignment wrapText="1"/>
    </xf>
    <xf numFmtId="0" fontId="66" fillId="0" borderId="0" xfId="0" applyFont="1"/>
    <xf numFmtId="164" fontId="0" fillId="4" borderId="0" xfId="0" applyNumberFormat="1" applyFill="1" applyAlignment="1">
      <alignment horizontal="right" vertical="top" wrapText="1"/>
    </xf>
    <xf numFmtId="0" fontId="67" fillId="0" borderId="0" xfId="0" applyFont="1" applyAlignment="1">
      <alignment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left"/>
    </xf>
    <xf numFmtId="0" fontId="0" fillId="0" borderId="2" xfId="0" applyBorder="1" applyAlignment="1">
      <alignment horizontal="left"/>
    </xf>
    <xf numFmtId="0" fontId="0" fillId="0" borderId="7" xfId="0" applyBorder="1" applyAlignment="1">
      <alignment horizontal="left"/>
    </xf>
    <xf numFmtId="0" fontId="0" fillId="0" borderId="2" xfId="0" applyBorder="1" applyAlignment="1">
      <alignment horizontal="left" vertical="top"/>
    </xf>
    <xf numFmtId="0" fontId="0" fillId="0" borderId="0" xfId="0" applyAlignment="1">
      <alignment horizontal="left" vertical="top"/>
    </xf>
    <xf numFmtId="0" fontId="0" fillId="0" borderId="7" xfId="0" applyBorder="1" applyAlignment="1">
      <alignment horizontal="left" vertical="top"/>
    </xf>
    <xf numFmtId="0" fontId="11" fillId="0" borderId="2" xfId="0" applyFont="1" applyBorder="1" applyAlignment="1">
      <alignment horizontal="left" wrapText="1"/>
    </xf>
    <xf numFmtId="0" fontId="11" fillId="0" borderId="0" xfId="0" applyFont="1" applyAlignment="1">
      <alignment horizontal="left" wrapText="1"/>
    </xf>
    <xf numFmtId="0" fontId="13" fillId="0" borderId="0" xfId="0" applyFont="1" applyAlignment="1">
      <alignment horizontal="left" vertical="top"/>
    </xf>
    <xf numFmtId="0" fontId="0" fillId="0" borderId="0" xfId="0" applyAlignment="1">
      <alignment wrapText="1"/>
    </xf>
    <xf numFmtId="0" fontId="11" fillId="0" borderId="5" xfId="0" applyFont="1" applyBorder="1" applyAlignment="1">
      <alignment horizontal="center"/>
    </xf>
    <xf numFmtId="0" fontId="0" fillId="0" borderId="0" xfId="0" applyAlignment="1">
      <alignment horizontal="left" vertical="top" wrapText="1"/>
    </xf>
    <xf numFmtId="0" fontId="0" fillId="0" borderId="1" xfId="0" applyBorder="1" applyAlignment="1">
      <alignment horizontal="center"/>
    </xf>
    <xf numFmtId="0" fontId="0" fillId="0" borderId="4" xfId="0" applyBorder="1" applyAlignment="1">
      <alignment horizontal="center"/>
    </xf>
    <xf numFmtId="0" fontId="0" fillId="0" borderId="2" xfId="0" applyBorder="1" applyAlignment="1">
      <alignment horizontal="left" wrapText="1"/>
    </xf>
    <xf numFmtId="0" fontId="0" fillId="0" borderId="3" xfId="0" applyBorder="1" applyAlignment="1">
      <alignment horizontal="left"/>
    </xf>
    <xf numFmtId="0" fontId="0" fillId="0" borderId="5" xfId="0" applyBorder="1" applyAlignment="1">
      <alignment horizontal="left"/>
    </xf>
    <xf numFmtId="0" fontId="3" fillId="0" borderId="0" xfId="1" applyBorder="1" applyAlignment="1">
      <alignment horizontal="center" vertical="top" wrapText="1"/>
    </xf>
    <xf numFmtId="164" fontId="0" fillId="0" borderId="0" xfId="0" applyNumberFormat="1" applyAlignment="1">
      <alignment horizontal="center" wrapText="1"/>
    </xf>
    <xf numFmtId="0" fontId="0" fillId="0" borderId="2" xfId="0" applyBorder="1" applyAlignment="1">
      <alignment horizontal="left" vertical="top" wrapText="1"/>
    </xf>
    <xf numFmtId="0" fontId="3" fillId="0" borderId="2" xfId="1" applyBorder="1" applyAlignment="1">
      <alignment horizontal="left" wrapText="1"/>
    </xf>
    <xf numFmtId="0" fontId="3" fillId="0" borderId="0" xfId="1" applyBorder="1" applyAlignment="1">
      <alignment horizontal="left" wrapText="1"/>
    </xf>
    <xf numFmtId="0" fontId="11" fillId="0" borderId="3" xfId="0" applyFont="1" applyBorder="1" applyAlignment="1">
      <alignment horizontal="left"/>
    </xf>
    <xf numFmtId="0" fontId="11" fillId="0" borderId="5" xfId="0" applyFont="1" applyBorder="1" applyAlignment="1">
      <alignment horizontal="left"/>
    </xf>
    <xf numFmtId="0" fontId="0" fillId="0" borderId="2" xfId="0" applyBorder="1" applyAlignment="1">
      <alignment horizontal="center"/>
    </xf>
    <xf numFmtId="0" fontId="0" fillId="0" borderId="2" xfId="0" applyBorder="1" applyAlignment="1">
      <alignment horizontal="center" vertical="top"/>
    </xf>
    <xf numFmtId="0" fontId="0" fillId="0" borderId="0" xfId="0" applyAlignment="1">
      <alignment horizontal="center" vertical="top"/>
    </xf>
    <xf numFmtId="0" fontId="0" fillId="0" borderId="2" xfId="0" applyBorder="1" applyAlignment="1">
      <alignment horizontal="center" wrapText="1"/>
    </xf>
    <xf numFmtId="0" fontId="0" fillId="0" borderId="0" xfId="0" applyAlignment="1">
      <alignment horizontal="left" vertical="center" wrapText="1"/>
    </xf>
    <xf numFmtId="0" fontId="40" fillId="0" borderId="0" xfId="0" applyFont="1" applyAlignment="1">
      <alignment horizontal="left" vertical="top" wrapText="1"/>
    </xf>
    <xf numFmtId="0" fontId="27" fillId="0" borderId="0" xfId="0" applyFont="1" applyAlignment="1">
      <alignment horizontal="left" vertical="top"/>
    </xf>
    <xf numFmtId="0" fontId="50" fillId="0" borderId="0" xfId="1" applyFont="1" applyFill="1" applyBorder="1" applyAlignment="1">
      <alignment horizontal="left" vertical="top" wrapText="1"/>
    </xf>
    <xf numFmtId="0" fontId="8" fillId="0" borderId="0" xfId="0" applyFont="1" applyAlignment="1">
      <alignment horizontal="left" vertical="top" wrapText="1"/>
    </xf>
    <xf numFmtId="0" fontId="22" fillId="0" borderId="0" xfId="0" applyFont="1" applyAlignment="1">
      <alignment horizontal="left" vertical="top" wrapText="1"/>
    </xf>
    <xf numFmtId="0" fontId="18" fillId="0" borderId="0" xfId="0" applyFont="1" applyAlignment="1">
      <alignment horizontal="left" vertical="top" wrapText="1"/>
    </xf>
    <xf numFmtId="0" fontId="18" fillId="0" borderId="0" xfId="0" applyFont="1" applyAlignment="1">
      <alignment vertical="top" wrapText="1"/>
    </xf>
    <xf numFmtId="0" fontId="19" fillId="0" borderId="0" xfId="1" applyFont="1" applyFill="1" applyBorder="1" applyAlignment="1">
      <alignment vertical="top" wrapText="1"/>
    </xf>
    <xf numFmtId="0" fontId="3" fillId="0" borderId="0" xfId="1" applyBorder="1" applyAlignment="1">
      <alignment horizontal="left" vertical="top"/>
    </xf>
    <xf numFmtId="0" fontId="22" fillId="0" borderId="0" xfId="0" applyFont="1" applyAlignment="1">
      <alignment vertical="top" wrapText="1"/>
    </xf>
    <xf numFmtId="0" fontId="22" fillId="0" borderId="0" xfId="0" applyFont="1" applyAlignment="1">
      <alignment horizontal="left" vertical="center" wrapText="1"/>
    </xf>
    <xf numFmtId="0" fontId="3" fillId="0" borderId="0" xfId="1" applyBorder="1" applyAlignment="1">
      <alignment horizontal="center" vertical="top"/>
    </xf>
    <xf numFmtId="0" fontId="6" fillId="2" borderId="0" xfId="0" applyFont="1" applyFill="1" applyAlignment="1">
      <alignment horizontal="left" vertical="top" wrapText="1"/>
    </xf>
    <xf numFmtId="0" fontId="6" fillId="2" borderId="0" xfId="0" applyFont="1" applyFill="1" applyAlignment="1">
      <alignment horizontal="left" vertical="top"/>
    </xf>
    <xf numFmtId="14" fontId="18" fillId="0" borderId="0" xfId="0" applyNumberFormat="1" applyFont="1" applyAlignment="1">
      <alignment vertical="top" wrapText="1"/>
    </xf>
    <xf numFmtId="164" fontId="18" fillId="0" borderId="0" xfId="0" applyNumberFormat="1" applyFont="1" applyAlignment="1">
      <alignment vertical="top" wrapText="1"/>
    </xf>
    <xf numFmtId="0" fontId="0" fillId="2" borderId="0" xfId="0" applyFill="1" applyAlignment="1">
      <alignment horizontal="left" vertical="top" wrapText="1"/>
    </xf>
    <xf numFmtId="0" fontId="20" fillId="0" borderId="0" xfId="0" applyFont="1" applyAlignment="1">
      <alignment vertical="top" wrapText="1"/>
    </xf>
    <xf numFmtId="0" fontId="20" fillId="0" borderId="0" xfId="0" applyFont="1" applyAlignment="1">
      <alignment horizontal="left" vertical="top" wrapText="1"/>
    </xf>
    <xf numFmtId="0" fontId="0" fillId="0" borderId="0" xfId="0" applyAlignment="1">
      <alignment horizontal="left" wrapText="1"/>
    </xf>
    <xf numFmtId="0" fontId="3" fillId="0" borderId="0" xfId="1" applyBorder="1" applyAlignment="1">
      <alignment horizontal="center"/>
    </xf>
    <xf numFmtId="0" fontId="0" fillId="0" borderId="0" xfId="0" applyAlignment="1">
      <alignment horizontal="center" vertical="top" wrapText="1"/>
    </xf>
    <xf numFmtId="0" fontId="0" fillId="0" borderId="1" xfId="0" applyBorder="1" applyAlignment="1">
      <alignment vertical="top" wrapText="1"/>
    </xf>
    <xf numFmtId="0" fontId="0" fillId="0" borderId="4" xfId="0" applyBorder="1" applyAlignment="1">
      <alignment vertical="top" wrapText="1"/>
    </xf>
    <xf numFmtId="0" fontId="0" fillId="0" borderId="0" xfId="0" applyAlignment="1">
      <alignment vertical="top" wrapText="1"/>
    </xf>
    <xf numFmtId="0" fontId="0" fillId="0" borderId="2" xfId="0" applyBorder="1" applyAlignment="1">
      <alignment vertical="top" wrapText="1"/>
    </xf>
    <xf numFmtId="0" fontId="0" fillId="0" borderId="2" xfId="0" applyBorder="1" applyAlignment="1"/>
    <xf numFmtId="0" fontId="0" fillId="0" borderId="0" xfId="0" applyAlignment="1"/>
    <xf numFmtId="0" fontId="0" fillId="0" borderId="7" xfId="0" applyBorder="1" applyAlignment="1"/>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left" vertical="top"/>
    </xf>
    <xf numFmtId="164" fontId="1" fillId="0" borderId="0" xfId="0" applyNumberFormat="1" applyFont="1" applyAlignment="1">
      <alignment horizontal="left" vertical="center"/>
    </xf>
    <xf numFmtId="164" fontId="1" fillId="0" borderId="0" xfId="0" applyNumberFormat="1" applyFont="1" applyAlignment="1">
      <alignment horizontal="right" vertical="center"/>
    </xf>
    <xf numFmtId="0" fontId="1" fillId="0" borderId="0" xfId="0" applyFont="1" applyAlignment="1">
      <alignment horizontal="left" vertical="top" wrapText="1"/>
    </xf>
    <xf numFmtId="0" fontId="1" fillId="7" borderId="0" xfId="0" applyFont="1" applyFill="1" applyAlignment="1">
      <alignment horizontal="left" vertical="top"/>
    </xf>
    <xf numFmtId="164" fontId="1" fillId="7" borderId="0" xfId="0" applyNumberFormat="1" applyFont="1" applyFill="1" applyAlignment="1">
      <alignment horizontal="left" vertical="center"/>
    </xf>
    <xf numFmtId="164" fontId="1" fillId="7" borderId="0" xfId="0" applyNumberFormat="1" applyFont="1" applyFill="1" applyAlignment="1">
      <alignment horizontal="right" vertical="center"/>
    </xf>
    <xf numFmtId="0" fontId="1" fillId="7" borderId="0" xfId="0" applyFont="1" applyFill="1" applyAlignment="1">
      <alignment horizontal="left" vertical="top" wrapText="1"/>
    </xf>
    <xf numFmtId="164" fontId="1" fillId="7" borderId="0" xfId="0" applyNumberFormat="1" applyFont="1" applyFill="1" applyAlignment="1">
      <alignment horizontal="left" vertical="center" wrapText="1"/>
    </xf>
    <xf numFmtId="164" fontId="1" fillId="7" borderId="0" xfId="0" applyNumberFormat="1" applyFont="1" applyFill="1" applyAlignment="1">
      <alignment horizontal="right" vertical="center" wrapText="1"/>
    </xf>
    <xf numFmtId="165" fontId="1" fillId="7" borderId="0" xfId="0" applyNumberFormat="1" applyFont="1" applyFill="1" applyAlignment="1">
      <alignment horizontal="left" vertical="top"/>
    </xf>
    <xf numFmtId="0" fontId="1" fillId="0" borderId="0" xfId="0" applyFont="1" applyAlignment="1">
      <alignment vertical="top" wrapText="1"/>
    </xf>
    <xf numFmtId="17" fontId="1" fillId="0" borderId="0" xfId="0" applyNumberFormat="1" applyFont="1" applyAlignment="1">
      <alignment horizontal="left" vertical="top" wrapText="1"/>
    </xf>
  </cellXfs>
  <cellStyles count="3">
    <cellStyle name="Collegamento ipertestuale" xfId="2" builtinId="8"/>
    <cellStyle name="Hyperlink" xfId="1" xr:uid="{00000000-000B-0000-0000-000008000000}"/>
    <cellStyle name="Normale" xfId="0" builtinId="0"/>
  </cellStyles>
  <dxfs count="1">
    <dxf>
      <fill>
        <patternFill patternType="solid">
          <fgColor rgb="FF548235"/>
          <bgColor rgb="FFFFFFFF"/>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ocumenttasks/documenttask1.xml><?xml version="1.0" encoding="utf-8"?>
<Tasks xmlns="http://schemas.microsoft.com/office/tasks/2019/documenttasks">
  <Task id="{9DF7C350-F399-4CF8-995E-0CFDDB479B01}">
    <Anchor>
      <Comment id="{AC78639C-2712-4B6F-8314-D79B9A91BD8B}"/>
    </Anchor>
    <History>
      <Event time="2026-05-02T10:09:35.03" id="{61404CE7-CADB-4AEE-A3EA-B0D94F0DF305}">
        <Attribution userId="S::eva.grimaldi@cdlan.it::4397c51b-e39f-4338-b8b2-f809409b1277" userName="Eva Maria Grimaldi" userProvider="AD"/>
        <Anchor>
          <Comment id="{AC78639C-2712-4B6F-8314-D79B9A91BD8B}"/>
        </Anchor>
        <Create/>
      </Event>
      <Event time="2026-05-02T10:09:35.03" id="{D8785ABE-F1B4-4388-B475-EC900AA326AD}">
        <Attribution userId="S::eva.grimaldi@cdlan.it::4397c51b-e39f-4338-b8b2-f809409b1277" userName="Eva Maria Grimaldi" userProvider="AD"/>
        <Anchor>
          <Comment id="{AC78639C-2712-4B6F-8314-D79B9A91BD8B}"/>
        </Anchor>
        <Assign userId="S::valeria.perego@cdlan.it::74328e56-a0e5-4c53-844f-5671e07a5082" userName="Valeria Perego" userProvider="AD"/>
      </Event>
      <Event time="2026-05-02T10:09:35.03" id="{E3D98603-6749-4B15-9ECC-86C0ABD12B8C}">
        <Attribution userId="S::eva.grimaldi@cdlan.it::4397c51b-e39f-4338-b8b2-f809409b1277" userName="Eva Maria Grimaldi" userProvider="AD"/>
        <Anchor>
          <Comment id="{AC78639C-2712-4B6F-8314-D79B9A91BD8B}"/>
        </Anchor>
        <SetTitle title="@Valeria Perego hanno identificato loro il corso?"/>
      </Event>
    </History>
  </Task>
  <Task id="{8C19E7D8-E856-4E8E-A5E2-EABC14430DBC}">
    <Anchor>
      <Comment id="{33A49D79-8F02-444C-BE3C-450478AEBA10}"/>
    </Anchor>
    <History>
      <Event time="2026-05-29T16:49:17.99" id="{91951B48-406D-4C70-A66C-F0FFBC37C623}">
        <Attribution userId="S::valeria.perego@cdlan.it::74328e56-a0e5-4c53-844f-5671e07a5082" userName="Valeria Perego" userProvider="AD"/>
        <Anchor>
          <Comment id="{33A49D79-8F02-444C-BE3C-450478AEBA10}"/>
        </Anchor>
        <Create/>
      </Event>
      <Event time="2026-05-29T16:49:17.99" id="{F9532CA4-CF62-4E87-AE4D-2BB3879DC642}">
        <Attribution userId="S::valeria.perego@cdlan.it::74328e56-a0e5-4c53-844f-5671e07a5082" userName="Valeria Perego" userProvider="AD"/>
        <Anchor>
          <Comment id="{33A49D79-8F02-444C-BE3C-450478AEBA10}"/>
        </Anchor>
        <Assign userId="S::eva.grimaldi@cdlan.it::4397c51b-e39f-4338-b8b2-f809409b1277" userName="Eva Maria Grimaldi" userProvider="AD"/>
      </Event>
      <Event time="2026-05-29T16:49:17.99" id="{3204287E-F190-409C-8516-18CEEDAAFF51}">
        <Attribution userId="S::valeria.perego@cdlan.it::74328e56-a0e5-4c53-844f-5671e07a5082" userName="Valeria Perego" userProvider="AD"/>
        <Anchor>
          <Comment id="{33A49D79-8F02-444C-BE3C-450478AEBA10}"/>
        </Anchor>
        <SetTitle title="@Eva Maria Grimaldi"/>
      </Event>
    </History>
  </Task>
  <Task id="{836BA5DF-0FBC-46C6-8D7F-10B665E8598C}">
    <Anchor>
      <Comment id="{A80FFB26-7694-43B4-BBC5-8FFED3228ABB}"/>
    </Anchor>
    <History>
      <Event time="2026-05-02T10:19:17.52" id="{7AC5182A-4629-4695-8F1D-D201AFD29F5A}">
        <Attribution userId="S::eva.grimaldi@cdlan.it::4397c51b-e39f-4338-b8b2-f809409b1277" userName="Eva Maria Grimaldi" userProvider="AD"/>
        <Anchor>
          <Comment id="{A80FFB26-7694-43B4-BBC5-8FFED3228ABB}"/>
        </Anchor>
        <Create/>
      </Event>
      <Event time="2026-05-02T10:19:17.52" id="{A2179B7D-F487-4313-81D4-77286B72BE5C}">
        <Attribution userId="S::eva.grimaldi@cdlan.it::4397c51b-e39f-4338-b8b2-f809409b1277" userName="Eva Maria Grimaldi" userProvider="AD"/>
        <Anchor>
          <Comment id="{A80FFB26-7694-43B4-BBC5-8FFED3228ABB}"/>
        </Anchor>
        <Assign userId="S::valeria.perego@cdlan.it::74328e56-a0e5-4c53-844f-5671e07a5082" userName="Valeria Perego" userProvider="AD"/>
      </Event>
      <Event time="2026-05-02T10:19:17.52" id="{DB5E8433-8ABF-45B3-AAAF-0B240A1CBBDC}">
        <Attribution userId="S::eva.grimaldi@cdlan.it::4397c51b-e39f-4338-b8b2-f809409b1277" userName="Eva Maria Grimaldi" userProvider="AD"/>
        <Anchor>
          <Comment id="{A80FFB26-7694-43B4-BBC5-8FFED3228ABB}"/>
        </Anchor>
        <SetTitle title="@Valeria Perego chi altri di trescore vuole fare ccna?"/>
      </Event>
    </History>
  </Task>
</Tasks>
</file>

<file path=xl/persons/person.xml><?xml version="1.0" encoding="utf-8"?>
<personList xmlns="http://schemas.microsoft.com/office/spreadsheetml/2018/threadedcomments" xmlns:x="http://schemas.openxmlformats.org/spreadsheetml/2006/main">
  <person displayName="Eva Maria Grimaldi" id="{9109202F-9D8D-4717-8625-4CF408BC7B79}" userId="eva.grimaldi@cdlan.it" providerId="PeoplePicker"/>
  <person displayName="Valeria Perego" id="{E67C8445-7B1F-4C3D-9169-B7FB598084AD}" userId="valeria.perego@cdlan.it" providerId="PeoplePicker"/>
  <person displayName="Eva Maria Grimaldi" id="{95F75856-210C-43ED-ADFD-70D72FF607C4}" userId="S::eva.grimaldi@cdlan.it::4397c51b-e39f-4338-b8b2-f809409b1277" providerId="AD"/>
  <person displayName="Valeria Perego" id="{E522B642-0EDA-42B4-B477-D1E1E67B016C}" userId="S::valeria.perego@cdlan.it::74328e56-a0e5-4c53-844f-5671e07a508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5" dT="2026-05-02T10:12:45.15" personId="{95F75856-210C-43ED-ADFD-70D72FF607C4}" id="{1E981448-D5BD-4479-9B61-74380D30EF20}">
    <text>attendere</text>
  </threadedComment>
  <threadedComment ref="I16" dT="2026-05-02T10:09:33.57" personId="{95F75856-210C-43ED-ADFD-70D72FF607C4}" id="{AC78639C-2712-4B6F-8314-D79B9A91BD8B}">
    <text>@Valeria Perego hanno identificato loro il corso?</text>
    <mentions>
      <mention mentionpersonId="{E67C8445-7B1F-4C3D-9169-B7FB598084AD}" mentionId="{B3FB8B1B-BE1F-43A6-97B2-47E752E5C30F}" startIndex="0" length="15"/>
    </mentions>
  </threadedComment>
  <threadedComment ref="B23" dT="2026-05-02T10:18:39.32" personId="{95F75856-210C-43ED-ADFD-70D72FF607C4}" id="{8029EE0B-8B79-4A0E-85F9-A6B30CD549AA}">
    <text>vuole fare kubernetes?</text>
  </threadedComment>
  <threadedComment ref="D23" dT="2026-05-02T10:19:16.01" personId="{95F75856-210C-43ED-ADFD-70D72FF607C4}" id="{A80FFB26-7694-43B4-BBC5-8FFED3228ABB}">
    <text>@Valeria Perego chi altri di trescore vuole fare ccna?</text>
    <mentions>
      <mention mentionpersonId="{E67C8445-7B1F-4C3D-9169-B7FB598084AD}" mentionId="{FC18729E-B1EF-4012-B6A1-449AC681C1AF}" startIndex="0" length="15"/>
    </mentions>
  </threadedComment>
  <threadedComment ref="A36" dT="2026-05-29T16:49:17.68" personId="{E522B642-0EDA-42B4-B477-D1E1E67B016C}" id="{33A49D79-8F02-444C-BE3C-450478AEBA10}">
    <text>@Eva Maria Grimaldi</text>
    <mentions>
      <mention mentionpersonId="{9109202F-9D8D-4717-8625-4CF408BC7B79}" mentionId="{DF2D1FE1-41E5-422A-BA44-5BE7854ED3A1}" startIndex="0" length="19"/>
    </mentions>
  </threadedComment>
  <threadedComment ref="A37" dT="2026-05-29T16:49:52.68" personId="{E522B642-0EDA-42B4-B477-D1E1E67B016C}" id="{DCD98D0C-1C7B-4D63-9831-D4859ED12A2F}">
    <text>@Eva Maria Grimaldi</text>
    <mentions>
      <mention mentionpersonId="{9109202F-9D8D-4717-8625-4CF408BC7B79}" mentionId="{9683D58E-20E0-4299-976E-8069B55174C5}" startIndex="0" length="19"/>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8" dT="2026-05-29T17:25:59.45" personId="{E522B642-0EDA-42B4-B477-D1E1E67B016C}" id="{9B5DAB4A-E9A4-4102-BA0D-7C94D933716C}">
    <text>come dividere i partecipanti</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vegatraining.eu/corsi-cisco/corso-cisco-ccna/?gad_source=1&amp;gad_campaignid=14957701392&amp;gbraid=0AAAAAD0nVC5uEjpG31R26oqPvAZEpSkb-&amp;gclid=Cj0KCQjw7IjOBhDyARIsAFzrWQwih42J7TPgTbgZd4AlT24x6c_QYrw47hJsY7I5KZBZ0VbuULfaylIaAiMhEALw_wcB" TargetMode="External"/><Relationship Id="rId3" Type="http://schemas.openxmlformats.org/officeDocument/2006/relationships/hyperlink" Target="https://www.vegatraining.eu/corsi-kubernetes/corso-kubernetes-administrator/" TargetMode="External"/><Relationship Id="rId7" Type="http://schemas.openxmlformats.org/officeDocument/2006/relationships/hyperlink" Target="https://www.eforhum.it/corsi-cisco/ccna/" TargetMode="External"/><Relationship Id="rId2" Type="http://schemas.openxmlformats.org/officeDocument/2006/relationships/hyperlink" Target="https://www.eforhum.it/corsi-cisco/ccna/" TargetMode="External"/><Relationship Id="rId1" Type="http://schemas.openxmlformats.org/officeDocument/2006/relationships/hyperlink" Target="https://training.linuxfoundation.org/training/linux-system-administration-essentials-lfs207/" TargetMode="External"/><Relationship Id="rId6" Type="http://schemas.openxmlformats.org/officeDocument/2006/relationships/hyperlink" Target="https://training.linuxfoundation.org/certification/linux-foundation-certified-sysadmin-lfcs/" TargetMode="External"/><Relationship Id="rId5" Type="http://schemas.openxmlformats.org/officeDocument/2006/relationships/hyperlink" Target="https://training.linuxfoundation.org/training/linux-system-administration-essentials-lfs207/" TargetMode="External"/><Relationship Id="rId10" Type="http://schemas.openxmlformats.org/officeDocument/2006/relationships/comments" Target="../comments1.xml"/><Relationship Id="rId4" Type="http://schemas.openxmlformats.org/officeDocument/2006/relationships/hyperlink" Target="https://training.linuxfoundation.org/certification/certified-kubernetes-administrator-cka/"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hyperlink" Target="https://training.linuxfoundation.org/certification/linux-foundation-certified-sysadmin-lfcs/" TargetMode="External"/><Relationship Id="rId18" Type="http://schemas.openxmlformats.org/officeDocument/2006/relationships/hyperlink" Target="https://cdlan365.sharepoint.com/:b:/r/sites/PEOPLE/Documenti%20condivisi/8.%20FORMAZIONE/2026/EforHum/Esame%20CCNP%20ENARSI%20300%20-%20410%20%20(Turra,%20Leva,%20Avola)/attachment_26.pdf?csf=1&amp;web=1&amp;e=YIOoOV" TargetMode="External"/><Relationship Id="rId26" Type="http://schemas.openxmlformats.org/officeDocument/2006/relationships/hyperlink" Target="https://www.vegaformazione.it/elearning/corso-sistema-gestione-ambientale-uni-14001-implementazione-sga-395.html" TargetMode="External"/><Relationship Id="rId3" Type="http://schemas.openxmlformats.org/officeDocument/2006/relationships/hyperlink" Target="https://cdlan365.sharepoint.com/:b:/r/sites/PEOPLE/Documenti%20condivisi/8.%20FORMAZIONE/2026/SLK26OFF103b%20Corso%20Cloud.pdf?csf=1&amp;web=1&amp;e=ycitJl" TargetMode="External"/><Relationship Id="rId21" Type="http://schemas.openxmlformats.org/officeDocument/2006/relationships/hyperlink" Target="https://www.vegaformazione.it/elearning/corso-sistema-gestione-ambientale-uni-14001-implementazione-sga-395.html" TargetMode="External"/><Relationship Id="rId34" Type="http://schemas.microsoft.com/office/2019/04/relationships/documenttask" Target="../documenttasks/documenttask1.xml"/><Relationship Id="rId7" Type="http://schemas.openxmlformats.org/officeDocument/2006/relationships/hyperlink" Target="https://www.naba.it/it/corsi-brevi/brand-communication-diurno" TargetMode="External"/><Relationship Id="rId12" Type="http://schemas.openxmlformats.org/officeDocument/2006/relationships/hyperlink" Target="https://training.linuxfoundation.org/training/linux-system-administration-essentials-lfs207/" TargetMode="External"/><Relationship Id="rId17" Type="http://schemas.openxmlformats.org/officeDocument/2006/relationships/hyperlink" Target="https://training.linuxfoundation.org/certification/linux-foundation-certified-sysadmin-lfcs/" TargetMode="External"/><Relationship Id="rId25" Type="http://schemas.openxmlformats.org/officeDocument/2006/relationships/hyperlink" Target="https://cdlan365.sharepoint.com/:b:/r/sites/PEOPLE/Documenti%20condivisi/8.%20FORMAZIONE/2026/Brochure%202026/MODULO10-Employer-Branding-LinkedIn-2026.pdf?csf=1&amp;web=1&amp;e=b2ACLd" TargetMode="External"/><Relationship Id="rId33" Type="http://schemas.microsoft.com/office/2017/10/relationships/threadedComment" Target="../threadedComments/threadedComment1.xml"/><Relationship Id="rId2" Type="http://schemas.openxmlformats.org/officeDocument/2006/relationships/hyperlink" Target="https://vueschool.io/plans" TargetMode="External"/><Relationship Id="rId16" Type="http://schemas.openxmlformats.org/officeDocument/2006/relationships/hyperlink" Target="https://training.linuxfoundation.org/training/linux-system-administration-essentials-lfs207/" TargetMode="External"/><Relationship Id="rId20" Type="http://schemas.openxmlformats.org/officeDocument/2006/relationships/hyperlink" Target="https://www.24orebs.com/formazione/corsi-executive/corso-strategic-learning-development?_gl=1*1j5d613*_up*MQ..*_gs*MQ..&amp;gclid=EAIaIQobChMI1u_ty6a7kwMV9KODBx3U8g8VEAAYAiAAEgJNFfD_BwE" TargetMode="External"/><Relationship Id="rId29" Type="http://schemas.openxmlformats.org/officeDocument/2006/relationships/hyperlink" Target="https://cdlan365.sharepoint.com/:b:/r/sites/PEOPLE/Documenti%20condivisi/8.%20FORMAZIONE/2026/Vega%20Training/VegaTraining%20Offerta-001-CisMicForKub-CDLAN-21052026-V001.pdf?csf=1&amp;web=1&amp;e=FiNRpl" TargetMode="External"/><Relationship Id="rId1" Type="http://schemas.openxmlformats.org/officeDocument/2006/relationships/hyperlink" Target="https://training.linuxfoundation.org/certification/certified-kubernetes-administrator-cka/" TargetMode="External"/><Relationship Id="rId6" Type="http://schemas.openxmlformats.org/officeDocument/2006/relationships/hyperlink" Target="https://linkedinforbusiness.it/formazione/linkedin-per-le-risorse-umane/employer-branding-training/" TargetMode="External"/><Relationship Id="rId11" Type="http://schemas.openxmlformats.org/officeDocument/2006/relationships/hyperlink" Target="https://www.vegatraining.eu/corsi-kubernetes/corso-kubernetes-administrator/" TargetMode="External"/><Relationship Id="rId24" Type="http://schemas.openxmlformats.org/officeDocument/2006/relationships/hyperlink" Target="https://cdlan365.sharepoint.com/sites/PEOPLE/Documenti%20condivisi/8.%20FORMAZIONE/2026/AI%20and%20Legal%20Compliance%20-%20Andrea%20Doati.pdf?csf=1&amp;web=1&amp;e=iSjvRs&amp;or=EXCEL-WEB.BODY.NT&amp;ct=1778774310589&amp;CID=fb02f129-2f8e-4212-98b3-6e4d1106dcb0" TargetMode="External"/><Relationship Id="rId32" Type="http://schemas.openxmlformats.org/officeDocument/2006/relationships/comments" Target="../comments2.xml"/><Relationship Id="rId5" Type="http://schemas.openxmlformats.org/officeDocument/2006/relationships/hyperlink" Target="https://www.gsom.polimi.it/course/programma-executive-ai-business-transformation/ai-people-strategy-per-futuro-hr/" TargetMode="External"/><Relationship Id="rId15" Type="http://schemas.openxmlformats.org/officeDocument/2006/relationships/hyperlink" Target="https://www.vegatraining.eu/corsi-kubernetes/corso-kubernetes-administrator/" TargetMode="External"/><Relationship Id="rId23" Type="http://schemas.openxmlformats.org/officeDocument/2006/relationships/hyperlink" Target="https://shop.giuffre.it/026103388-master-legal-ai-competenze-strategie-e-strumenti-di-intelligenza-artificiale-per-il-business-legale" TargetMode="External"/><Relationship Id="rId28" Type="http://schemas.openxmlformats.org/officeDocument/2006/relationships/hyperlink" Target="https://static.24orebs.com/20251201813785665StrategicLearningDevelopment.pdf?_gl=1*hxvsxp*_up*MQ..&amp;gclid=EAIaIQobChMI1u_ty6a7kwMV9KODBx3U8g8VEAAYAiAAEgJNFfD_BwE" TargetMode="External"/><Relationship Id="rId10" Type="http://schemas.openxmlformats.org/officeDocument/2006/relationships/hyperlink" Target="https://www.24orebs.com/formazione/corsi-executive/corso-ai-agent-survival-kit?_gl=1*189dcxo*_up*MQ..*_gs*MQ..&amp;gclid=CjwKCAjwhqfPBhBWEiwAZo196geK3hoEHhhYTiH86-tTWr_Ej2V_5C4ltGmFqWpn7PXA0T4HXGczLRoCbkoQAvD_BwE&amp;gbraid=0AAAAADRpQqSyaq-BEHb1dQUF1VIUj-FB-" TargetMode="External"/><Relationship Id="rId19" Type="http://schemas.openxmlformats.org/officeDocument/2006/relationships/hyperlink" Target="https://training.linuxfoundation.org/certification/certified-kubernetes-administrator-cka/" TargetMode="External"/><Relationship Id="rId31" Type="http://schemas.openxmlformats.org/officeDocument/2006/relationships/vmlDrawing" Target="../drawings/vmlDrawing2.vml"/><Relationship Id="rId4" Type="http://schemas.openxmlformats.org/officeDocument/2006/relationships/hyperlink" Target="https://www.novanext.it/training/corsi/epi-data-center/epi-data-center-training-framework/cdcp-certified-data-center-professional" TargetMode="External"/><Relationship Id="rId9" Type="http://schemas.openxmlformats.org/officeDocument/2006/relationships/hyperlink" Target="https://www.24orebs.com/formazione/professional-master/master-ai-e-legal-compliance?_gl=1*1c5xp*_up*MQ..*_gs*MQ..&amp;gclid=Cj0KCQiAo4TKBhDRARIsAGW29bc6FQMa35YQ3Rup73e3WEp6Sy2IENlPu3u9TgsynS-ml9s3w1VMPwUaAjwrEALw_wcB&amp;gbraid=0AAAAADRpQqSEfvH1Cn3FJxSq6VhitjL_e" TargetMode="External"/><Relationship Id="rId14" Type="http://schemas.openxmlformats.org/officeDocument/2006/relationships/hyperlink" Target="https://www.eforhum.it/corsi-cisco/ccna/" TargetMode="External"/><Relationship Id="rId22" Type="http://schemas.openxmlformats.org/officeDocument/2006/relationships/hyperlink" Target="https://cdlan365.sharepoint.com/:b:/r/sites/PEOPLE/Documenti%20condivisi/8.%20FORMAZIONE/2026/Master%2520Legal%2520AI.%2520Competenze%252C%2520strategie%2520e%2520strumenti%2520di%2520Intelligenza%2520Artificiale%2520per%2520il%2520business%2520legale.pdf?csf=1&amp;web=1&amp;e=Z9qPBk" TargetMode="External"/><Relationship Id="rId27" Type="http://schemas.openxmlformats.org/officeDocument/2006/relationships/hyperlink" Target="https://www.ninja.it/corsi/corso-marketing-e-intelligenza-artificiale/" TargetMode="External"/><Relationship Id="rId30" Type="http://schemas.openxmlformats.org/officeDocument/2006/relationships/hyperlink" Target="https://sales.ec.unipi.it/iscrizioni/" TargetMode="External"/><Relationship Id="rId8" Type="http://schemas.openxmlformats.org/officeDocument/2006/relationships/hyperlink" Target="https://www.24orebs.com/formazione/corsi-executive/corso-digital-marketing-strategia-advertising-ai"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cdlan365.sharepoint.com/:b:/r/sites/PEOPLE/Documenti%20condivisi/8.%20FORMAZIONE/2026/Vega%20Training/Offerta-003-ForKub-CDLAN-04062026-V001.pdf?csf=1&amp;web=1&amp;e=gfBcc6" TargetMode="External"/><Relationship Id="rId13" Type="http://schemas.openxmlformats.org/officeDocument/2006/relationships/vmlDrawing" Target="../drawings/vmlDrawing3.vml"/><Relationship Id="rId3" Type="http://schemas.openxmlformats.org/officeDocument/2006/relationships/hyperlink" Target="https://www.vegatraining.eu/corsi-microsoft/corso-microsoft-365-administrator/?_gl=1*g008up*_up*MQ..&amp;gclid=CjwKCAjwwpDQBhAuEiwAa-4Woy68QKwi-RHDyUUmJhTmXVObqgJ2Dcjh9koIc6tKieUCknMoktmw0BoCi3cQAvD_BwE" TargetMode="External"/><Relationship Id="rId7" Type="http://schemas.openxmlformats.org/officeDocument/2006/relationships/hyperlink" Target="https://cdlan365.sharepoint.com/:b:/r/sites/PEOPLE/Documenti%20condivisi/8.%20FORMAZIONE/2026/Pipeline/Pipeline_CDLan_01fcMS102.pdf?csf=1&amp;web=1&amp;e=F3JiZC" TargetMode="External"/><Relationship Id="rId12" Type="http://schemas.openxmlformats.org/officeDocument/2006/relationships/hyperlink" Target="https://training.linuxfoundation.org/certification/linux-foundation-certified-sysadmin-lfcs/" TargetMode="External"/><Relationship Id="rId2" Type="http://schemas.openxmlformats.org/officeDocument/2006/relationships/hyperlink" Target="https://www.pipeline.it/formazione/prodotto/moc-ms-102-microsoft-365-administrator-essentials/?_gl=1*j3p9rn*_up*MQ..*_ga*NDg3ODExNTYxLjE3Nzg2NTg0Mzk.*_ga_KHZTFLRB0J*czE3Nzg2NTgzOTAkbzEkZzEkdDE3Nzg2NTg1NzEkajQ3JGwwJGgw" TargetMode="External"/><Relationship Id="rId1" Type="http://schemas.openxmlformats.org/officeDocument/2006/relationships/hyperlink" Target="https://www.europanetworking.net/corsi-cisco/1-cisco-academy/2-ccna.htm" TargetMode="External"/><Relationship Id="rId6" Type="http://schemas.openxmlformats.org/officeDocument/2006/relationships/hyperlink" Target="https://cdlan365.sharepoint.com/:b:/r/sites/PEOPLE/Documenti%20condivisi/8.%20FORMAZIONE/2026/EforHum%202026/CCNA/CDLAN-%20CCNA-%20EforHum.pdf?csf=1&amp;web=1&amp;e=paeFlo" TargetMode="External"/><Relationship Id="rId11" Type="http://schemas.openxmlformats.org/officeDocument/2006/relationships/hyperlink" Target="https://cdlan365-my.sharepoint.com/shared?id=%2Fsites%2FPEOPLE%2FDocumenti%20condivisi%2F8%2E%20FORMAZIONE%2F2026%2FAsk%20consulting&amp;listurl=https%3A%2F%2Fcdlan365%2Esharepoint%2Ecom%2Fsites%2FPEOPLE%2FDocumenti%20condivisi&amp;viewid=e0e73cac%2D4f0f%2D473d%2D8dd5%2D51e8273caab1" TargetMode="External"/><Relationship Id="rId5" Type="http://schemas.openxmlformats.org/officeDocument/2006/relationships/hyperlink" Target="https://www.eforhum.it/corsi-cisco/ccna/" TargetMode="External"/><Relationship Id="rId15" Type="http://schemas.microsoft.com/office/2017/10/relationships/threadedComment" Target="../threadedComments/threadedComment2.xml"/><Relationship Id="rId10" Type="http://schemas.openxmlformats.org/officeDocument/2006/relationships/hyperlink" Target="https://askconsulting.it/" TargetMode="External"/><Relationship Id="rId4" Type="http://schemas.openxmlformats.org/officeDocument/2006/relationships/hyperlink" Target="https://www.vegatraining.eu/corsi-fortinet/corso-fortios-administrator/?_gl=1*187u0ci*_up*MQ..&amp;gclid=CjwKCAjwwpDQBhAuEiwAa-4Woytdox_8zr9GjbgkP1l8NEm1ISft7vsJayp3g7niUo3_2KOvKuzjORoCg5UQAvD_BwE" TargetMode="External"/><Relationship Id="rId9" Type="http://schemas.openxmlformats.org/officeDocument/2006/relationships/hyperlink" Target="https://www.vegatraining.eu/corsi-comptia/corso-linux-administrator-comptia-linux/?gad_source=1&amp;gad_campaignid=1947174207&amp;gbraid=0AAAAAD0nVC7IrYz418HM17C3t-5ZS6s8j&amp;gclid=EAIaIQobChMIir6EutHUlAMVtndBAh083ApJEAAYASAAEgKeU_D_BwE" TargetMode="External"/><Relationship Id="rId1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hyperlink" Target="https://learnn.com/v2/?cat=91" TargetMode="External"/><Relationship Id="rId7" Type="http://schemas.openxmlformats.org/officeDocument/2006/relationships/hyperlink" Target="https://training.linuxfoundation.org/certification/linux-foundation-certified-sysadmin-lfcs/" TargetMode="External"/><Relationship Id="rId2" Type="http://schemas.openxmlformats.org/officeDocument/2006/relationships/hyperlink" Target="https://vueschool.io/plans" TargetMode="External"/><Relationship Id="rId1" Type="http://schemas.openxmlformats.org/officeDocument/2006/relationships/hyperlink" Target="https://www.ninja.it/corsi/corso-marketing-e-intelligenza-artificiale/" TargetMode="External"/><Relationship Id="rId6" Type="http://schemas.openxmlformats.org/officeDocument/2006/relationships/hyperlink" Target="https://training.linuxfoundation.org/certification/linux-foundation-certified-sysadmin-lfcs/" TargetMode="External"/><Relationship Id="rId5" Type="http://schemas.openxmlformats.org/officeDocument/2006/relationships/hyperlink" Target="https://training.linuxfoundation.org/certification/certified-kubernetes-administrator-cka/" TargetMode="External"/><Relationship Id="rId4" Type="http://schemas.openxmlformats.org/officeDocument/2006/relationships/hyperlink" Target="https://www.vegaformazione.it/elearning/corso-sistema-gestione-ambientale-uni-14001-implementazione-sga-395.html"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cdlan365.sharepoint.com/:x:/r/sites/PEOPLE/_layouts/15/Doc.aspx?sourcedoc=%7B7FB7D40F-1C01-5642-0C5E-15C513866D5A%7D&amp;file=Team%20non%20tecnici%20%20.xlsx&amp;action=default&amp;mobileredirect=true" TargetMode="External"/><Relationship Id="rId21" Type="http://schemas.openxmlformats.org/officeDocument/2006/relationships/hyperlink" Target="https://cdlan365.sharepoint.com/:x:/r/sites/PEOPLE/Documenti%20condivisi/8.%20FORMAZIONE/2026/Mappatura%20formazione%20NON%20tecnica%202026/Applications.xlsx?d=w6f6651a9f0c9569f5f8c4074ab42a9e6&amp;csf=1&amp;web=1&amp;e=6IxRwn" TargetMode="External"/><Relationship Id="rId42" Type="http://schemas.openxmlformats.org/officeDocument/2006/relationships/hyperlink" Target="https://www.naba.it/it/corsi-brevi/brand-communication-diurno" TargetMode="External"/><Relationship Id="rId47" Type="http://schemas.openxmlformats.org/officeDocument/2006/relationships/hyperlink" Target="https://cdlan365-my.sharepoint.com/:b:/r/personal/andrea_doati_cdlan_it/Documents/Attachments/Luiss_Executive_Compliance_Management_Primavera%202026.pdf?csf=1&amp;web=1&amp;e=BxUUid" TargetMode="External"/><Relationship Id="rId63" Type="http://schemas.openxmlformats.org/officeDocument/2006/relationships/hyperlink" Target="https://training.linuxfoundation.org/training/linux-system-administration-essentials-lfs207/" TargetMode="External"/><Relationship Id="rId68" Type="http://schemas.openxmlformats.org/officeDocument/2006/relationships/hyperlink" Target="https://cdlan365.sharepoint.com/:b:/r/sites/PEOPLE/Documenti%20condivisi/8.%20FORMAZIONE/2026/SLK26OFF103b%20Corso%20Cloud.pdf?csf=1&amp;web=1&amp;e=ycitJl" TargetMode="External"/><Relationship Id="rId84" Type="http://schemas.openxmlformats.org/officeDocument/2006/relationships/hyperlink" Target="https://www.vegaformazione.it/elearning/corso-sistema-gestione-ambientale-uni-14001-implementazione-sga-395.html" TargetMode="External"/><Relationship Id="rId89" Type="http://schemas.openxmlformats.org/officeDocument/2006/relationships/vmlDrawing" Target="../drawings/vmlDrawing4.vml"/><Relationship Id="rId16" Type="http://schemas.openxmlformats.org/officeDocument/2006/relationships/hyperlink" Target="https://cdlan365-my.sharepoint.com/:b:/r/personal/andrea_doati_cdlan_it/Documents/Attachments/Luiss_Executive_Compliance_Management_Primavera%202026.pdf?csf=1&amp;web=1&amp;e=BxUUid" TargetMode="External"/><Relationship Id="rId11" Type="http://schemas.openxmlformats.org/officeDocument/2006/relationships/hyperlink" Target="https://master.talentgarden.com/branding-e-visual-design/?utm_campaign=6683659-ITBVPT&amp;utm_source=ppc&amp;utm_medium=pmax&amp;utm_term=landingpage&amp;utm_source=adwords&amp;utm_campaign=ITBVPT_LeadGen_Pmax_1_%7C%7C%7C+BRANDINGVISUALDESI-DESIGN-H42709+%7C%7C%7C&amp;utm_term=&amp;utm_medium=ppc&amp;hsa_tgt=&amp;hsa_mt=&amp;hsa_ver=3&amp;hsa_src=x&amp;hsa_grp=&amp;hsa_kw=&amp;hsa_ad=&amp;hsa_net=adwords&amp;hsa_acc=1135829712&amp;hsa_cam=22398547824&amp;gad_source=1&amp;gad_campaignid=22405058828&amp;gbraid=0AAAAADkNQ-BkKYs1ZcdX1ACzQJjPFZ3iq&amp;gclid=Cj0KCQiAqeDMBhDcARIsAJEbU9S2_-wsJDn5wHqh8yGJfk4pAkMarLbrn-ElHS3KjF7SP87hjIcbYc0aApTREALw_wcB" TargetMode="External"/><Relationship Id="rId32" Type="http://schemas.openxmlformats.org/officeDocument/2006/relationships/hyperlink" Target="https://cdlan365.sharepoint.com/:x:/r/sites/PEOPLE/_layouts/15/Doc.aspx?sourcedoc=%7B7FB7D40F-1C01-5642-0C5E-15C513866D5A%7D&amp;file=Team%20non%20tecnici%20%20.xlsx&amp;action=default&amp;mobileredirect=true&amp;DefaultItemOpen=1" TargetMode="External"/><Relationship Id="rId37" Type="http://schemas.openxmlformats.org/officeDocument/2006/relationships/hyperlink" Target="https://www.globalearning.it/corsi/analisi-dei-processi/" TargetMode="External"/><Relationship Id="rId53" Type="http://schemas.openxmlformats.org/officeDocument/2006/relationships/hyperlink" Target="https://www.novanext.it/training/corsi/epi-data-center/epi-data-center-training-framework/cdcp-certified-data-center-professional" TargetMode="External"/><Relationship Id="rId58" Type="http://schemas.openxmlformats.org/officeDocument/2006/relationships/hyperlink" Target="https://www.canva.com/design/DAG1X1FHitg/69k1Tef1t-_OXdVb870tpg/view?utlId=hf9ec2cd30b&amp;utm_campaign=designshare&amp;utm_medium=link2&amp;utm_content=DAG1X1FHitg&amp;utm_source=uniquelinks" TargetMode="External"/><Relationship Id="rId74" Type="http://schemas.openxmlformats.org/officeDocument/2006/relationships/hyperlink" Target="https://www.24orebs.com/formazione/professional-master/professional-master-big-data-intelligenza-artificiale-e-business-analytics?_gl=1*189dcxo*_up*MQ..*_gs*MQ..&amp;gclid=CjwKCAjwhqfPBhBWEiwAZo196geK3hoEHhhYTiH86-tTWr_Ej2V_5C4ltGmFqWpn7PXA0T4HXGczLRoCbkoQAvD_BwE&amp;gbraid=0AAAAADRpQqSyaq-BEHb1dQUF1VIUj-FB-" TargetMode="External"/><Relationship Id="rId79" Type="http://schemas.openxmlformats.org/officeDocument/2006/relationships/hyperlink" Target="https://talentgarden.com/it/artificial-intelligence-academy-talent-garden" TargetMode="External"/><Relationship Id="rId5" Type="http://schemas.openxmlformats.org/officeDocument/2006/relationships/hyperlink" Target="https://vueschool.io/plans" TargetMode="External"/><Relationship Id="rId90" Type="http://schemas.openxmlformats.org/officeDocument/2006/relationships/comments" Target="../comments4.xml"/><Relationship Id="rId14" Type="http://schemas.openxmlformats.org/officeDocument/2006/relationships/hyperlink" Target="https://www.ninja.it/corsi-alta-formazione-digital-marketing/" TargetMode="External"/><Relationship Id="rId22" Type="http://schemas.openxmlformats.org/officeDocument/2006/relationships/hyperlink" Target="https://cdlan365.sharepoint.com/:x:/r/sites/PEOPLE/_layouts/15/Doc.aspx?sourcedoc=%7B7FB7D40F-1C01-5642-0C5E-15C513866D5A%7D&amp;file=Team%20non%20tecnici%20%20.xlsx&amp;action=default&amp;mobileredirect=true" TargetMode="External"/><Relationship Id="rId27" Type="http://schemas.openxmlformats.org/officeDocument/2006/relationships/hyperlink" Target="https://www.datacenterdynamics.com/en/dcdacademy/all-courses-certifications/dcda/" TargetMode="External"/><Relationship Id="rId30" Type="http://schemas.openxmlformats.org/officeDocument/2006/relationships/hyperlink" Target="https://www.24orebs.com/formazione/professional-master/master-ai-e-legal-compliance?_gl=1*1c5xp*_up*MQ..*_gs*MQ..&amp;gclid=Cj0KCQiAo4TKBhDRARIsAGW29bc6FQMa35YQ3Rup73e3WEp6Sy2IENlPu3u9TgsynS-ml9s3w1VMPwUaAjwrEALw_wcB&amp;gbraid=0AAAAADRpQqSEfvH1Cn3FJxSq6VhitjL_e" TargetMode="External"/><Relationship Id="rId35" Type="http://schemas.openxmlformats.org/officeDocument/2006/relationships/hyperlink" Target="https://www.gsom.polimi.it/course/bpr-analisi-riprogettazione-processi-aziendali/" TargetMode="External"/><Relationship Id="rId43" Type="http://schemas.openxmlformats.org/officeDocument/2006/relationships/hyperlink" Target="https://learnn.com/corso/linkedin-ads/" TargetMode="External"/><Relationship Id="rId48" Type="http://schemas.openxmlformats.org/officeDocument/2006/relationships/hyperlink" Target="https://www.bureauveritas.it/servizi/formazione/corsi/formazione-ambito-cybersecurity-e-sicurezza-delle-informazioni/iso-27035" TargetMode="External"/><Relationship Id="rId56" Type="http://schemas.openxmlformats.org/officeDocument/2006/relationships/hyperlink" Target="https://linkedinforbusiness.it/formazione/linkedin-per-il-marketing/linkedin-advertising-training/" TargetMode="External"/><Relationship Id="rId64" Type="http://schemas.openxmlformats.org/officeDocument/2006/relationships/hyperlink" Target="https://training.linuxfoundation.org/certification/linux-foundation-certified-sysadmin-lfcs/" TargetMode="External"/><Relationship Id="rId69" Type="http://schemas.openxmlformats.org/officeDocument/2006/relationships/hyperlink" Target="https://cdlan365.sharepoint.com/:b:/r/sites/PEOPLE/Documenti%20condivisi/8.%20FORMAZIONE/2026/EforHum/Esame%20CCNP%20ENARSI%20300%20-%20410%20%20(Turra,%20Leva,%20Avola)/attachment_26.pdf?csf=1&amp;web=1&amp;e=YIOoOV" TargetMode="External"/><Relationship Id="rId77" Type="http://schemas.openxmlformats.org/officeDocument/2006/relationships/hyperlink" Target="https://www.24orebs.com/formazione/corsi-executive/corso-ai-agent-survival-kit?_gl=1*189dcxo*_up*MQ..*_gs*MQ..&amp;gclid=CjwKCAjwhqfPBhBWEiwAZo196geK3hoEHhhYTiH86-tTWr_Ej2V_5C4ltGmFqWpn7PXA0T4HXGczLRoCbkoQAvD_BwE&amp;gbraid=0AAAAADRpQqSyaq-BEHb1dQUF1VIUj-FB-" TargetMode="External"/><Relationship Id="rId8" Type="http://schemas.openxmlformats.org/officeDocument/2006/relationships/hyperlink" Target="https://learnn.com/v2/?cat=91" TargetMode="External"/><Relationship Id="rId51" Type="http://schemas.openxmlformats.org/officeDocument/2006/relationships/hyperlink" Target="https://cdlan365-my.sharepoint.com/:b:/r/personal/cinzia_dallatorre_cdlan_it/Documents/Attachments/Calendario%20Parita%CC%80%20di%20Genere_VIX%20Ed.%20Maggio%202026.docx.pdf?csf=1&amp;web=1&amp;e=XIHQnM" TargetMode="External"/><Relationship Id="rId72" Type="http://schemas.openxmlformats.org/officeDocument/2006/relationships/hyperlink" Target="https://www.ninja.it/master-online-in-ai-per-il-marketing/" TargetMode="External"/><Relationship Id="rId80" Type="http://schemas.openxmlformats.org/officeDocument/2006/relationships/hyperlink" Target="https://datamasters.it/catalogo/corsi/ai-automation-con-n8n/" TargetMode="External"/><Relationship Id="rId85" Type="http://schemas.openxmlformats.org/officeDocument/2006/relationships/hyperlink" Target="https://www.istud.it/imprese/formazione-interaziendale-per-manager/fondamenti-della-formazione/" TargetMode="External"/><Relationship Id="rId3" Type="http://schemas.openxmlformats.org/officeDocument/2006/relationships/hyperlink" Target="https://www.cegos.it/corsi-formazione/hr-organization/formazione-pratica-allapproccio-per-processi" TargetMode="External"/><Relationship Id="rId12" Type="http://schemas.openxmlformats.org/officeDocument/2006/relationships/hyperlink" Target="https://learnn.com/corso/linkedin-ads/" TargetMode="External"/><Relationship Id="rId17" Type="http://schemas.openxmlformats.org/officeDocument/2006/relationships/hyperlink" Target="https://www.bureauveritas.it/servizi/formazione/corsi/formazione-ambito-cybersecurity-e-sicurezza-delle-informazioni/iso-27035" TargetMode="External"/><Relationship Id="rId25" Type="http://schemas.openxmlformats.org/officeDocument/2006/relationships/hyperlink" Target="https://cdlan365.sharepoint.com/:x:/r/sites/PEOPLE/_layouts/15/Doc.aspx?sourcedoc=%7B7FB7D40F-1C01-5642-0C5E-15C513866D5A%7D&amp;file=Team%20non%20tecnici%20%20.xlsx&amp;action=default&amp;mobileredirect=true" TargetMode="External"/><Relationship Id="rId33" Type="http://schemas.openxmlformats.org/officeDocument/2006/relationships/hyperlink" Target="https://cdlan365-my.sharepoint.com/shared?listurl=https%3A%2F%2Fcdlan365-my.sharepoint.com%2Fpersonal%2Fcinzia_dallatorre_cdlan_it%2FDocuments&amp;id=%2Fpersonal%2Fcinzia_dallatorre_cdlan_it%2FDocuments%2FAttachments%2FCalendario+Parita%CC%80+di+Genere_VIX+Ed.+Maggio+2026.docx.pdf&amp;parent=%2Fpersonal%2Fcinzia_dallatorre_cdlan_it%2FDocuments%2FAttachments" TargetMode="External"/><Relationship Id="rId38" Type="http://schemas.openxmlformats.org/officeDocument/2006/relationships/hyperlink" Target="https://vueschool.io/plans" TargetMode="External"/><Relationship Id="rId46" Type="http://schemas.openxmlformats.org/officeDocument/2006/relationships/hyperlink" Target="https://www.24orebs.com/formazione/professional-master/master-ai-e-legal-compliance?_gl=1*1c5xp*_up*MQ..*_gs*MQ..&amp;gclid=Cj0KCQiAo4TKBhDRARIsAGW29bc6FQMa35YQ3Rup73e3WEp6Sy2IENlPu3u9TgsynS-ml9s3w1VMPwUaAjwrEALw_wcB&amp;gbraid=0AAAAADRpQqSEfvH1Cn3FJxSq6VhitjL_e" TargetMode="External"/><Relationship Id="rId59" Type="http://schemas.openxmlformats.org/officeDocument/2006/relationships/hyperlink" Target="https://www.gsom.polimi.it/course/programma-executive-ai-business-transformation/ai-people-strategy-per-futuro-hr/" TargetMode="External"/><Relationship Id="rId67" Type="http://schemas.openxmlformats.org/officeDocument/2006/relationships/hyperlink" Target="https://cdlan365.sharepoint.com/:b:/r/sites/PEOPLE/Documenti%20condivisi/8.%20FORMAZIONE/2026/SLK26OFF103b%20Corso%20Cloud.pdf?csf=1&amp;web=1&amp;e=ycitJl" TargetMode="External"/><Relationship Id="rId20" Type="http://schemas.openxmlformats.org/officeDocument/2006/relationships/hyperlink" Target="https://cdlan365-my.sharepoint.com/:b:/r/personal/cinzia_dallatorre_cdlan_it/Documents/Attachments/Calendario%20Parita%CC%80%20di%20Genere_VIX%20Ed.%20Maggio%202026.docx.pdf?csf=1&amp;web=1&amp;e=XIHQnM" TargetMode="External"/><Relationship Id="rId41" Type="http://schemas.openxmlformats.org/officeDocument/2006/relationships/hyperlink" Target="https://learnn.com/v2/?cat=91" TargetMode="External"/><Relationship Id="rId54" Type="http://schemas.openxmlformats.org/officeDocument/2006/relationships/hyperlink" Target="https://gaqm.org/certifications/data_center/cdcp" TargetMode="External"/><Relationship Id="rId62" Type="http://schemas.openxmlformats.org/officeDocument/2006/relationships/hyperlink" Target="https://training.linuxfoundation.org/certification/certified-kubernetes-administrator-cka/" TargetMode="External"/><Relationship Id="rId70" Type="http://schemas.openxmlformats.org/officeDocument/2006/relationships/hyperlink" Target="https://www.24orebs.com/formazione/corsi-executive/corso-digital-marketing-strategia-advertising-ai?_gl=1*1haz5w9*_up*MQ..*_gs*MQ..&amp;gclid=CjwKCAjw46HPBhAMEiwASZpLRJQKN6uTWzzVR1_C4_P9oZA18DDS7s9615kDNj2JoA-in3A2v3B7SRoC6tgQAvD_BwE&amp;gbraid=0AAAAADRpQqSRcMhKeLoAlA9gxu3Aa8g3G" TargetMode="External"/><Relationship Id="rId75" Type="http://schemas.openxmlformats.org/officeDocument/2006/relationships/hyperlink" Target="https://www.24orebs.com/formazione/professional-master/corso-artificial-intelligence-for-leaders-new-challenges?_gl=1*189dcxo*_up*MQ..*_gs*MQ..&amp;gclid=CjwKCAjwhqfPBhBWEiwAZo196geK3hoEHhhYTiH86-tTWr_Ej2V_5C4ltGmFqWpn7PXA0T4HXGczLRoCbkoQAvD_BwE&amp;gbraid=0AAAAADRpQqSyaq-BEHb1dQUF1VIUj-FB-" TargetMode="External"/><Relationship Id="rId83" Type="http://schemas.openxmlformats.org/officeDocument/2006/relationships/hyperlink" Target="https://www.vegaformazione.it/elearning/corso-sistema-gestione-ambientale-uni-14001-implementazione-sga-395.html" TargetMode="External"/><Relationship Id="rId88" Type="http://schemas.openxmlformats.org/officeDocument/2006/relationships/hyperlink" Target="https://www.24orebs.com/formazione/corsi-online/organizzare-gestire-e-comunicare-la-learning-strategy" TargetMode="External"/><Relationship Id="rId1" Type="http://schemas.openxmlformats.org/officeDocument/2006/relationships/hyperlink" Target="https://training.linuxfoundation.org/certification/certified-kubernetes-administrator-cka/" TargetMode="External"/><Relationship Id="rId6" Type="http://schemas.openxmlformats.org/officeDocument/2006/relationships/hyperlink" Target="https://www.gsom.polimi.it/course/programma-executive-gestione-risorse-umane/progettare-sistemi-formazione-sviluppo-risorse-umane/" TargetMode="External"/><Relationship Id="rId15" Type="http://schemas.openxmlformats.org/officeDocument/2006/relationships/hyperlink" Target="https://www.24orebs.com/formazione/professional-master/master-ai-e-legal-compliance?_gl=1*1c5xp*_up*MQ..*_gs*MQ..&amp;gclid=Cj0KCQiAo4TKBhDRARIsAGW29bc6FQMa35YQ3Rup73e3WEp6Sy2IENlPu3u9TgsynS-ml9s3w1VMPwUaAjwrEALw_wcB&amp;gbraid=0AAAAADRpQqSEfvH1Cn3FJxSq6VhitjL_e" TargetMode="External"/><Relationship Id="rId23" Type="http://schemas.openxmlformats.org/officeDocument/2006/relationships/hyperlink" Target="https://cdlan365.sharepoint.com/:x:/r/sites/PEOPLE/_layouts/15/Doc.aspx?sourcedoc=%7B7FB7D40F-1C01-5642-0C5E-15C513866D5A%7D&amp;file=Team%20non%20tecnici%20%20.xlsx&amp;action=default&amp;mobileredirect=true" TargetMode="External"/><Relationship Id="rId28" Type="http://schemas.openxmlformats.org/officeDocument/2006/relationships/hyperlink" Target="https://www.novanext.it/training/corsi/epi-data-center/epi-data-center-training-framework/cdcp-certified-data-center-professional" TargetMode="External"/><Relationship Id="rId36" Type="http://schemas.openxmlformats.org/officeDocument/2006/relationships/hyperlink" Target="https://www.cegos.it/corsi-formazione/hr-organization/formazione-pratica-allapproccio-per-processi" TargetMode="External"/><Relationship Id="rId49" Type="http://schemas.openxmlformats.org/officeDocument/2006/relationships/hyperlink" Target="https://www.bureauveritas.it/servizi/formazione/formazione-tecnica/corsi-di-formazione-ambito-responsabilita-sociale/gri2-bilanci-sostenibilita-gri-standards" TargetMode="External"/><Relationship Id="rId57" Type="http://schemas.openxmlformats.org/officeDocument/2006/relationships/hyperlink" Target="https://www.canva.com/design/DAHBA4nz7XE/AoRSIXMvAC_SyKYbdq7wHA/view?utlId=h01eda34b82&amp;utm_campaign=designshare&amp;utm_medium=link2&amp;utm_content=DAHBA4nz7XE&amp;utm_source=uniquelinks" TargetMode="External"/><Relationship Id="rId10" Type="http://schemas.openxmlformats.org/officeDocument/2006/relationships/hyperlink" Target="https://www.naba.it/it/corsi-brevi/brand-communication-diurno" TargetMode="External"/><Relationship Id="rId31" Type="http://schemas.openxmlformats.org/officeDocument/2006/relationships/hyperlink" Target="https://cdlan365-my.sharepoint.com/shared?listurl=https%3A%2F%2Fcdlan365-my.sharepoint.com%2Fpersonal%2Fcinzia_dallatorre_cdlan_it%2FDocuments&amp;id=%2Fpersonal%2Fcinzia_dallatorre_cdlan_it%2FDocuments%2FAttachments%2FCalendario+Parita%CC%80+di+Genere_VIX+Ed.+Maggio+2026.docx.pdf&amp;parent=%2Fpersonal%2Fcinzia_dallatorre_cdlan_it%2FDocuments%2FAttachments" TargetMode="External"/><Relationship Id="rId44" Type="http://schemas.openxmlformats.org/officeDocument/2006/relationships/hyperlink" Target="https://learnn.com/v2/?cat=91" TargetMode="External"/><Relationship Id="rId52" Type="http://schemas.openxmlformats.org/officeDocument/2006/relationships/hyperlink" Target="https://www.datacenterdynamics.com/en/dcdacademy/all-courses-certifications/dcda/" TargetMode="External"/><Relationship Id="rId60" Type="http://schemas.openxmlformats.org/officeDocument/2006/relationships/hyperlink" Target="https://linkedinforbusiness.it/formazione/linkedin-per-le-risorse-umane/employer-branding-training/" TargetMode="External"/><Relationship Id="rId65" Type="http://schemas.openxmlformats.org/officeDocument/2006/relationships/hyperlink" Target="https://www.eforhum.it/corsi-cisco/ccna/" TargetMode="External"/><Relationship Id="rId73" Type="http://schemas.openxmlformats.org/officeDocument/2006/relationships/hyperlink" Target="https://www.24orebs.com/formazione/professional-master/master-big-data-intelligenza-artificiale-e-business-analytics?_gl=1*1p2lq42*_up*MQ..*_gs*MQ..&amp;gclid=CjwKCAjwhqfPBhBWEiwAZo196geK3hoEHhhYTiH86-tTWr_Ej2V_5C4ltGmFqWpn7PXA0T4HXGczLRoCbkoQAvD_BwE&amp;gbraid=0AAAAADRpQqSyaq-BEHb1dQUF1VIUj-FB-" TargetMode="External"/><Relationship Id="rId78" Type="http://schemas.openxmlformats.org/officeDocument/2006/relationships/hyperlink" Target="https://www.profession.ai/corsi/ai-solutions-architecture/" TargetMode="External"/><Relationship Id="rId81" Type="http://schemas.openxmlformats.org/officeDocument/2006/relationships/hyperlink" Target="https://datamasters.it/catalogo/corsi/rag-large-language-models-langchain/" TargetMode="External"/><Relationship Id="rId86" Type="http://schemas.openxmlformats.org/officeDocument/2006/relationships/hyperlink" Target="https://www.imd.org/human-resources/ola/organizational-learning/" TargetMode="External"/><Relationship Id="rId4" Type="http://schemas.openxmlformats.org/officeDocument/2006/relationships/hyperlink" Target="https://www.globalearning.it/corsi/analisi-dei-processi/" TargetMode="External"/><Relationship Id="rId9" Type="http://schemas.openxmlformats.org/officeDocument/2006/relationships/hyperlink" Target="https://www.ninja.it/corsi-alta-formazione-digital-marketing/" TargetMode="External"/><Relationship Id="rId13" Type="http://schemas.openxmlformats.org/officeDocument/2006/relationships/hyperlink" Target="https://learnn.com/v2/?cat=91" TargetMode="External"/><Relationship Id="rId18" Type="http://schemas.openxmlformats.org/officeDocument/2006/relationships/hyperlink" Target="https://www.bureauveritas.it/servizi/formazione/formazione-tecnica/corsi-di-formazione-ambito-responsabilita-sociale/gri2-bilanci-sostenibilita-gri-standards" TargetMode="External"/><Relationship Id="rId39" Type="http://schemas.openxmlformats.org/officeDocument/2006/relationships/hyperlink" Target="https://www.gsom.polimi.it/course/programma-executive-gestione-risorse-umane/progettare-sistemi-formazione-sviluppo-risorse-umane/" TargetMode="External"/><Relationship Id="rId34" Type="http://schemas.openxmlformats.org/officeDocument/2006/relationships/hyperlink" Target="https://training.linuxfoundation.org/certification/certified-kubernetes-administrator-cka/" TargetMode="External"/><Relationship Id="rId50" Type="http://schemas.openxmlformats.org/officeDocument/2006/relationships/hyperlink" Target="https://www.dnv.it/training/il-sistema-di-gestione-ambientale-iso-14001-2015-47357/" TargetMode="External"/><Relationship Id="rId55" Type="http://schemas.openxmlformats.org/officeDocument/2006/relationships/hyperlink" Target="https://www.canva.com/design/DAHCVjNQXHE/_4NDZwMU9m_6LuuPLoEZUQ/view?utlId=he6945bebc7&amp;utm_campaign=designshare&amp;utm_medium=link2&amp;utm_content=DAHCVjNQXHE&amp;utm_source=uniquelinks" TargetMode="External"/><Relationship Id="rId76" Type="http://schemas.openxmlformats.org/officeDocument/2006/relationships/hyperlink" Target="https://www.24orebs.com/formazione/corsi-executive/corso-ai-survival-kit?_gl=1*189dcxo*_up*MQ..*_gs*MQ..&amp;gclid=CjwKCAjwhqfPBhBWEiwAZo196geK3hoEHhhYTiH86-tTWr_Ej2V_5C4ltGmFqWpn7PXA0T4HXGczLRoCbkoQAvD_BwE&amp;gbraid=0AAAAADRpQqSyaq-BEHb1dQUF1VIUj-FB-" TargetMode="External"/><Relationship Id="rId7" Type="http://schemas.openxmlformats.org/officeDocument/2006/relationships/hyperlink" Target="https://www.24orebs.com/formazione/corsi-executive/corso-strategic-learning-development?_gl=1*1j5d613*_up*MQ..*_gs*MQ..&amp;gclid=EAIaIQobChMI1u_ty6a7kwMV9KODBx3U8g8VEAAYAiAAEgJNFfD_BwE" TargetMode="External"/><Relationship Id="rId71" Type="http://schemas.openxmlformats.org/officeDocument/2006/relationships/hyperlink" Target="https://www.24orebs.com/formazione/corsi-executive/ai-per-content-creation-prompt-workflow-e-tool-per-testi-immagini-e-video" TargetMode="External"/><Relationship Id="rId2" Type="http://schemas.openxmlformats.org/officeDocument/2006/relationships/hyperlink" Target="https://www.gsom.polimi.it/course/bpr-analisi-riprogettazione-processi-aziendali/" TargetMode="External"/><Relationship Id="rId29" Type="http://schemas.openxmlformats.org/officeDocument/2006/relationships/hyperlink" Target="https://gaqm.org/certifications/data_center/cdcp" TargetMode="External"/><Relationship Id="rId24" Type="http://schemas.openxmlformats.org/officeDocument/2006/relationships/hyperlink" Target="https://cdlan365.sharepoint.com/:x:/r/sites/PEOPLE/_layouts/15/Doc.aspx?sourcedoc=%7B7FB7D40F-1C01-5642-0C5E-15C513866D5A%7D&amp;file=Team%20non%20tecnici%20%20.xlsx&amp;action=default&amp;mobileredirect=true" TargetMode="External"/><Relationship Id="rId40" Type="http://schemas.openxmlformats.org/officeDocument/2006/relationships/hyperlink" Target="https://www.24orebs.com/formazione/corsi-executive/corso-strategic-learning-development?_gl=1*1j5d613*_up*MQ..*_gs*MQ..&amp;gclid=EAIaIQobChMI1u_ty6a7kwMV9KODBx3U8g8VEAAYAiAAEgJNFfD_BwE" TargetMode="External"/><Relationship Id="rId45" Type="http://schemas.openxmlformats.org/officeDocument/2006/relationships/hyperlink" Target="https://www.ninja.it/corsi-alta-formazione-digital-marketing/" TargetMode="External"/><Relationship Id="rId66" Type="http://schemas.openxmlformats.org/officeDocument/2006/relationships/hyperlink" Target="https://www.vegatraining.eu/corsi-cisco/corso-cisco-ccna/?gad_source=1&amp;gad_campaignid=14957701392&amp;gbraid=0AAAAAD0nVC5uEjpG31R26oqPvAZEpSkb-&amp;gclid=Cj0KCQjw7IjOBhDyARIsAFzrWQwih42J7TPgTbgZd4AlT24x6c_QYrw47hJsY7I5KZBZ0VbuULfaylIaAiMhEALw_wcB" TargetMode="External"/><Relationship Id="rId87" Type="http://schemas.openxmlformats.org/officeDocument/2006/relationships/hyperlink" Target="https://www.este.it/wp-content/uploads/2026/04/Presentazione_EXECUTIVE_MASTER_Formazione_Formatori_28_04.pdf" TargetMode="External"/><Relationship Id="rId61" Type="http://schemas.openxmlformats.org/officeDocument/2006/relationships/hyperlink" Target="https://www.vegatraining.eu/corsi-kubernetes/corso-kubernetes-administrator/" TargetMode="External"/><Relationship Id="rId82" Type="http://schemas.openxmlformats.org/officeDocument/2006/relationships/hyperlink" Target="https://www.bureauveritas.it/servizi/formazione/corsi/formazione-ambito-intelligenza-artificiale/ai-design-prompt-engineering" TargetMode="External"/><Relationship Id="rId19" Type="http://schemas.openxmlformats.org/officeDocument/2006/relationships/hyperlink" Target="https://www.dnv.it/training/il-sistema-di-gestione-ambientale-iso-14001-2015-47357/"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8" Type="http://schemas.openxmlformats.org/officeDocument/2006/relationships/hyperlink" Target="https://cdlan365.sharepoint.com/:f:/r/sites/PEOPLE/Documenti%20condivisi/8.%20FORMAZIONE/2026/Ecole?d=w9815300660424e7fbda328a847f60d25&amp;csf=1&amp;web=1&amp;e=wPtrsL" TargetMode="External"/><Relationship Id="rId3" Type="http://schemas.openxmlformats.org/officeDocument/2006/relationships/hyperlink" Target="https://masterschool.lumsa.it/corso-di-formazione-esperto-gestione-fondi-SIE" TargetMode="External"/><Relationship Id="rId7" Type="http://schemas.openxmlformats.org/officeDocument/2006/relationships/hyperlink" Target="https://www.olympos.it/corso-progettazione-piani-formativi-fondi-interprofessionali.html" TargetMode="External"/><Relationship Id="rId2" Type="http://schemas.openxmlformats.org/officeDocument/2006/relationships/hyperlink" Target="https://tacktmi/" TargetMode="External"/><Relationship Id="rId1" Type="http://schemas.openxmlformats.org/officeDocument/2006/relationships/hyperlink" Target="https://cdlan365.sharepoint.com/:f:/r/sites/PEOPLE/Documenti%20condivisi/8.%20FORMAZIONE/2026/Ask%20consulting?csf=1&amp;web=1&amp;e=dg2ZId" TargetMode="External"/><Relationship Id="rId6" Type="http://schemas.openxmlformats.org/officeDocument/2006/relationships/hyperlink" Target="https://www.olympos.it/corso-formazione-aziendale-finanziata-dai-Fondi-Interprofessionali.html" TargetMode="External"/><Relationship Id="rId5" Type="http://schemas.openxmlformats.org/officeDocument/2006/relationships/hyperlink" Target="https://www.emagister.it/corso_progettazione_e_gestione_dei_piani_formativi_finanziati_dai_fondi_interprofessionali-ec2653179.htm" TargetMode="External"/><Relationship Id="rId4" Type="http://schemas.openxmlformats.org/officeDocument/2006/relationships/hyperlink" Target="https://www.ecoricerche.com/corsi-di-formazione/gestione-fondimpres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4504F-289E-4DD1-9F6F-F9AEA9003AE8}">
  <dimension ref="A1:AI30"/>
  <sheetViews>
    <sheetView workbookViewId="0">
      <pane ySplit="1" topLeftCell="A15" activePane="bottomLeft" state="frozen"/>
      <selection pane="bottomLeft" activeCell="Y17" sqref="Y17:Y18"/>
    </sheetView>
  </sheetViews>
  <sheetFormatPr defaultRowHeight="15"/>
  <cols>
    <col min="2" max="2" width="11.5703125" customWidth="1"/>
    <col min="3" max="3" width="15.85546875" customWidth="1"/>
    <col min="4" max="4" width="36.5703125" bestFit="1" customWidth="1"/>
    <col min="5" max="5" width="36.5703125" customWidth="1"/>
    <col min="7" max="7" width="19.7109375" bestFit="1" customWidth="1"/>
    <col min="10" max="10" width="33.5703125" bestFit="1" customWidth="1"/>
    <col min="11" max="12" width="27.7109375" customWidth="1"/>
    <col min="16" max="16" width="9.42578125" bestFit="1" customWidth="1"/>
    <col min="17" max="17" width="33.7109375" bestFit="1" customWidth="1"/>
    <col min="19" max="19" width="27.85546875" customWidth="1"/>
    <col min="21" max="21" width="7.42578125" bestFit="1" customWidth="1"/>
    <col min="22" max="22" width="23.140625" customWidth="1"/>
    <col min="23" max="23" width="29.140625" customWidth="1"/>
    <col min="24" max="24" width="26.85546875" customWidth="1"/>
    <col min="25" max="25" width="36.5703125" bestFit="1" customWidth="1"/>
    <col min="26" max="26" width="14" bestFit="1" customWidth="1"/>
    <col min="29" max="29" width="36.5703125" style="1" bestFit="1" customWidth="1"/>
    <col min="30" max="30" width="19.42578125" bestFit="1" customWidth="1"/>
    <col min="31" max="31" width="27.7109375" customWidth="1"/>
    <col min="32" max="32" width="19.7109375" bestFit="1" customWidth="1"/>
    <col min="33" max="33" width="16.140625" customWidth="1"/>
    <col min="34" max="34" width="31.42578125" bestFit="1" customWidth="1"/>
    <col min="35" max="35" width="18.7109375" customWidth="1"/>
  </cols>
  <sheetData>
    <row r="1" spans="1:35" ht="45">
      <c r="A1" s="11" t="s">
        <v>0</v>
      </c>
      <c r="B1" s="14" t="s">
        <v>1</v>
      </c>
      <c r="C1" s="14" t="s">
        <v>2</v>
      </c>
      <c r="D1" s="14" t="s">
        <v>3</v>
      </c>
      <c r="E1" s="14" t="s">
        <v>4</v>
      </c>
      <c r="F1" s="11" t="s">
        <v>5</v>
      </c>
      <c r="G1" s="11" t="s">
        <v>6</v>
      </c>
      <c r="H1" s="11" t="s">
        <v>7</v>
      </c>
      <c r="I1" s="11" t="s">
        <v>8</v>
      </c>
      <c r="J1" s="11" t="s">
        <v>9</v>
      </c>
      <c r="K1" s="11" t="s">
        <v>10</v>
      </c>
      <c r="L1" s="11" t="s">
        <v>11</v>
      </c>
      <c r="M1" s="11" t="s">
        <v>12</v>
      </c>
      <c r="N1" s="11" t="s">
        <v>13</v>
      </c>
      <c r="O1" s="11" t="s">
        <v>14</v>
      </c>
      <c r="P1" s="11" t="s">
        <v>15</v>
      </c>
      <c r="Q1" s="12" t="s">
        <v>16</v>
      </c>
      <c r="R1" s="3"/>
      <c r="S1" s="25"/>
      <c r="U1" s="41" t="s">
        <v>1</v>
      </c>
      <c r="V1" s="41" t="s">
        <v>2</v>
      </c>
      <c r="W1" s="41" t="s">
        <v>17</v>
      </c>
      <c r="X1" s="41" t="s">
        <v>18</v>
      </c>
      <c r="Y1" s="41" t="s">
        <v>19</v>
      </c>
      <c r="Z1" s="42" t="s">
        <v>5</v>
      </c>
      <c r="AA1" s="44" t="s">
        <v>20</v>
      </c>
      <c r="AB1" s="41" t="s">
        <v>7</v>
      </c>
      <c r="AC1" s="42" t="s">
        <v>10</v>
      </c>
      <c r="AD1" s="42" t="s">
        <v>9</v>
      </c>
      <c r="AE1" s="42" t="s">
        <v>12</v>
      </c>
      <c r="AF1" s="42" t="s">
        <v>13</v>
      </c>
      <c r="AG1" s="41" t="s">
        <v>14</v>
      </c>
      <c r="AH1" s="42" t="s">
        <v>15</v>
      </c>
      <c r="AI1" s="42" t="s">
        <v>16</v>
      </c>
    </row>
    <row r="2" spans="1:35" ht="152.25" customHeight="1">
      <c r="A2" s="7"/>
      <c r="B2" s="8"/>
      <c r="C2" s="16"/>
      <c r="D2" s="293"/>
      <c r="E2" s="20"/>
      <c r="F2" s="8"/>
      <c r="G2" s="23"/>
      <c r="H2" s="8"/>
      <c r="I2" s="290"/>
      <c r="J2" s="288"/>
      <c r="K2" s="307"/>
      <c r="L2" s="28"/>
      <c r="M2" s="311"/>
      <c r="N2" s="311"/>
      <c r="O2" s="311"/>
      <c r="P2" s="311"/>
      <c r="Q2" s="309"/>
      <c r="U2" s="312" t="s">
        <v>21</v>
      </c>
      <c r="V2" s="16" t="s">
        <v>22</v>
      </c>
      <c r="W2" s="314" t="s">
        <v>23</v>
      </c>
      <c r="X2" s="16" t="s">
        <v>24</v>
      </c>
      <c r="Y2" s="315" t="s">
        <v>25</v>
      </c>
      <c r="Z2" s="8">
        <v>1</v>
      </c>
      <c r="AA2">
        <v>3</v>
      </c>
      <c r="AB2">
        <v>3</v>
      </c>
      <c r="AC2" s="25" t="s">
        <v>26</v>
      </c>
      <c r="AD2" t="s">
        <v>27</v>
      </c>
      <c r="AE2" s="1" t="s">
        <v>28</v>
      </c>
      <c r="AF2" s="37" t="s">
        <v>29</v>
      </c>
      <c r="AG2" t="s">
        <v>30</v>
      </c>
      <c r="AH2" t="s">
        <v>31</v>
      </c>
    </row>
    <row r="3" spans="1:35" ht="58.5" customHeight="1">
      <c r="A3" s="9"/>
      <c r="D3" s="294"/>
      <c r="E3" s="21"/>
      <c r="I3" s="291"/>
      <c r="J3" s="287"/>
      <c r="K3" s="308"/>
      <c r="L3" s="5"/>
      <c r="M3" s="285"/>
      <c r="N3" s="285"/>
      <c r="O3" s="285"/>
      <c r="P3" s="285"/>
      <c r="Q3" s="310"/>
      <c r="U3" s="313"/>
      <c r="V3" s="50" t="s">
        <v>32</v>
      </c>
      <c r="W3" s="286"/>
      <c r="X3" t="s">
        <v>33</v>
      </c>
      <c r="Y3" s="315"/>
      <c r="Z3">
        <v>1</v>
      </c>
      <c r="AA3">
        <v>1</v>
      </c>
      <c r="AB3">
        <v>2</v>
      </c>
      <c r="AC3" s="25" t="s">
        <v>34</v>
      </c>
      <c r="AD3" t="s">
        <v>35</v>
      </c>
      <c r="AE3" t="s">
        <v>30</v>
      </c>
      <c r="AF3" t="s">
        <v>36</v>
      </c>
      <c r="AG3" t="s">
        <v>30</v>
      </c>
      <c r="AH3" s="46">
        <v>445</v>
      </c>
    </row>
    <row r="4" spans="1:35" ht="184.5" customHeight="1">
      <c r="A4" s="9"/>
      <c r="B4" t="s">
        <v>21</v>
      </c>
      <c r="C4" t="s">
        <v>37</v>
      </c>
      <c r="D4" s="294" t="s">
        <v>38</v>
      </c>
      <c r="E4" s="21"/>
      <c r="F4">
        <v>1</v>
      </c>
      <c r="I4" s="291" t="s">
        <v>39</v>
      </c>
      <c r="J4" s="298" t="s">
        <v>40</v>
      </c>
      <c r="K4" s="304" t="s">
        <v>41</v>
      </c>
      <c r="L4" s="27"/>
      <c r="M4" s="285"/>
      <c r="N4" s="285"/>
      <c r="O4" s="285"/>
      <c r="P4" s="305">
        <v>540</v>
      </c>
      <c r="Q4" s="297" t="s">
        <v>42</v>
      </c>
      <c r="U4" s="313"/>
      <c r="V4" s="1" t="s">
        <v>43</v>
      </c>
      <c r="W4" s="286" t="s">
        <v>44</v>
      </c>
      <c r="X4" s="1" t="s">
        <v>45</v>
      </c>
      <c r="Y4" s="286" t="s">
        <v>46</v>
      </c>
      <c r="Z4" s="285">
        <v>1</v>
      </c>
      <c r="AA4">
        <v>1</v>
      </c>
      <c r="AB4">
        <v>2</v>
      </c>
      <c r="AC4" s="25" t="s">
        <v>47</v>
      </c>
      <c r="AD4" t="s">
        <v>35</v>
      </c>
      <c r="AE4" t="s">
        <v>48</v>
      </c>
      <c r="AF4" t="s">
        <v>30</v>
      </c>
      <c r="AG4" t="s">
        <v>30</v>
      </c>
      <c r="AH4" s="1" t="s">
        <v>49</v>
      </c>
      <c r="AI4" s="1" t="s">
        <v>50</v>
      </c>
    </row>
    <row r="5" spans="1:35" ht="30.75" customHeight="1">
      <c r="A5" s="9"/>
      <c r="B5" t="s">
        <v>21</v>
      </c>
      <c r="C5" t="s">
        <v>51</v>
      </c>
      <c r="D5" s="294"/>
      <c r="E5" s="21"/>
      <c r="F5">
        <v>1</v>
      </c>
      <c r="I5" s="291"/>
      <c r="J5" s="298"/>
      <c r="K5" s="304"/>
      <c r="L5" s="27"/>
      <c r="M5" s="285"/>
      <c r="N5" s="285"/>
      <c r="O5" s="285"/>
      <c r="P5" s="305"/>
      <c r="Q5" s="297"/>
      <c r="U5" s="313"/>
      <c r="V5" s="1" t="s">
        <v>52</v>
      </c>
      <c r="W5" s="286"/>
      <c r="X5" t="s">
        <v>33</v>
      </c>
      <c r="Y5" s="286"/>
      <c r="Z5" s="285"/>
      <c r="AA5">
        <v>1</v>
      </c>
      <c r="AB5">
        <v>2</v>
      </c>
      <c r="AC5" s="25" t="s">
        <v>53</v>
      </c>
      <c r="AD5" t="s">
        <v>35</v>
      </c>
      <c r="AE5" t="s">
        <v>30</v>
      </c>
      <c r="AF5" t="s">
        <v>36</v>
      </c>
      <c r="AG5" t="s">
        <v>30</v>
      </c>
      <c r="AH5" t="s">
        <v>31</v>
      </c>
    </row>
    <row r="6" spans="1:35" ht="60">
      <c r="A6" s="9"/>
      <c r="B6" t="s">
        <v>21</v>
      </c>
      <c r="C6" t="s">
        <v>54</v>
      </c>
      <c r="D6" s="1" t="s">
        <v>55</v>
      </c>
      <c r="E6" s="1"/>
      <c r="F6">
        <v>1</v>
      </c>
      <c r="I6" s="24" t="s">
        <v>39</v>
      </c>
      <c r="J6" s="1" t="s">
        <v>56</v>
      </c>
      <c r="K6" s="13" t="s">
        <v>57</v>
      </c>
      <c r="L6" s="13"/>
      <c r="Q6" s="15" t="s">
        <v>58</v>
      </c>
      <c r="U6" s="313"/>
      <c r="V6" s="286" t="s">
        <v>54</v>
      </c>
      <c r="W6" s="286" t="s">
        <v>59</v>
      </c>
      <c r="X6" s="1" t="s">
        <v>55</v>
      </c>
      <c r="Y6" s="286" t="s">
        <v>60</v>
      </c>
      <c r="Z6" s="285">
        <v>1</v>
      </c>
      <c r="AA6" s="285">
        <v>0</v>
      </c>
      <c r="AB6" s="285">
        <v>1</v>
      </c>
      <c r="AC6" s="25" t="s">
        <v>61</v>
      </c>
      <c r="AD6" t="s">
        <v>62</v>
      </c>
      <c r="AE6" t="s">
        <v>63</v>
      </c>
      <c r="AF6" t="s">
        <v>36</v>
      </c>
      <c r="AG6" t="s">
        <v>30</v>
      </c>
      <c r="AH6" s="38">
        <v>600</v>
      </c>
    </row>
    <row r="7" spans="1:35" ht="60" customHeight="1">
      <c r="A7" s="9"/>
      <c r="B7" t="s">
        <v>21</v>
      </c>
      <c r="C7" t="s">
        <v>64</v>
      </c>
      <c r="D7" t="s">
        <v>65</v>
      </c>
      <c r="I7" s="24" t="s">
        <v>39</v>
      </c>
      <c r="Q7" s="15" t="s">
        <v>66</v>
      </c>
      <c r="U7" s="313"/>
      <c r="V7" s="286"/>
      <c r="W7" s="286"/>
      <c r="X7" t="s">
        <v>67</v>
      </c>
      <c r="Y7" s="286"/>
      <c r="Z7" s="285"/>
      <c r="AA7" s="285"/>
      <c r="AB7" s="285"/>
      <c r="AC7" s="25" t="s">
        <v>68</v>
      </c>
      <c r="AD7" t="s">
        <v>69</v>
      </c>
      <c r="AE7" s="1" t="s">
        <v>31</v>
      </c>
      <c r="AF7" t="s">
        <v>36</v>
      </c>
      <c r="AG7" t="s">
        <v>30</v>
      </c>
      <c r="AH7" t="s">
        <v>31</v>
      </c>
    </row>
    <row r="8" spans="1:35" ht="45">
      <c r="A8" s="299" t="s">
        <v>70</v>
      </c>
      <c r="B8" s="290" t="s">
        <v>71</v>
      </c>
      <c r="C8" s="8" t="s">
        <v>72</v>
      </c>
      <c r="D8" s="290" t="s">
        <v>73</v>
      </c>
      <c r="E8" s="306"/>
      <c r="F8" s="342">
        <v>1</v>
      </c>
      <c r="G8" s="8"/>
      <c r="H8" s="8"/>
      <c r="I8" s="290" t="s">
        <v>39</v>
      </c>
      <c r="J8" s="301" t="s">
        <v>74</v>
      </c>
      <c r="K8" s="8"/>
      <c r="L8" s="8"/>
      <c r="M8" s="8"/>
      <c r="N8" s="8"/>
      <c r="O8" s="8"/>
      <c r="P8" s="8"/>
      <c r="Q8" s="302" t="s">
        <v>75</v>
      </c>
      <c r="U8" s="313"/>
      <c r="V8" t="s">
        <v>64</v>
      </c>
      <c r="W8" t="s">
        <v>65</v>
      </c>
      <c r="X8" t="s">
        <v>30</v>
      </c>
      <c r="Y8" t="s">
        <v>30</v>
      </c>
      <c r="Z8" t="s">
        <v>30</v>
      </c>
      <c r="AA8" t="s">
        <v>30</v>
      </c>
      <c r="AB8" t="s">
        <v>30</v>
      </c>
      <c r="AC8" s="1" t="s">
        <v>30</v>
      </c>
      <c r="AD8" t="s">
        <v>30</v>
      </c>
      <c r="AE8" t="s">
        <v>30</v>
      </c>
      <c r="AF8" t="s">
        <v>30</v>
      </c>
      <c r="AG8" t="s">
        <v>30</v>
      </c>
      <c r="AH8" t="s">
        <v>30</v>
      </c>
      <c r="AI8" s="1" t="s">
        <v>76</v>
      </c>
    </row>
    <row r="9" spans="1:35" ht="60">
      <c r="A9" s="300"/>
      <c r="B9" s="291"/>
      <c r="C9" t="s">
        <v>77</v>
      </c>
      <c r="D9" s="291"/>
      <c r="E9" s="291"/>
      <c r="F9" s="343"/>
      <c r="I9" s="291"/>
      <c r="J9" s="287"/>
      <c r="K9" s="13"/>
      <c r="L9" s="13"/>
      <c r="Q9" s="303"/>
      <c r="U9" s="313"/>
      <c r="V9" s="47" t="s">
        <v>78</v>
      </c>
      <c r="W9" s="45" t="s">
        <v>79</v>
      </c>
      <c r="X9" s="47" t="s">
        <v>80</v>
      </c>
      <c r="Y9" s="47" t="s">
        <v>81</v>
      </c>
      <c r="Z9" s="45">
        <v>1</v>
      </c>
      <c r="AA9" s="45">
        <v>0</v>
      </c>
      <c r="AB9" s="45">
        <v>1</v>
      </c>
      <c r="AC9" s="47"/>
      <c r="AD9" s="45"/>
      <c r="AE9" s="51">
        <v>46146</v>
      </c>
      <c r="AF9" s="45" t="s">
        <v>82</v>
      </c>
      <c r="AG9" s="52" t="s">
        <v>82</v>
      </c>
      <c r="AH9" s="45">
        <v>1700</v>
      </c>
      <c r="AI9" s="45"/>
    </row>
    <row r="10" spans="1:35" ht="91.5" customHeight="1">
      <c r="A10" s="300"/>
      <c r="B10" s="291"/>
      <c r="C10" s="1" t="s">
        <v>83</v>
      </c>
      <c r="D10" s="291"/>
      <c r="E10" s="291"/>
      <c r="F10" s="343"/>
      <c r="I10" s="291"/>
      <c r="J10" s="287"/>
      <c r="K10" s="13"/>
      <c r="L10" s="13"/>
      <c r="Q10" s="303"/>
      <c r="U10" s="285" t="s">
        <v>84</v>
      </c>
      <c r="V10" s="36" t="s">
        <v>85</v>
      </c>
      <c r="W10" s="1" t="s">
        <v>86</v>
      </c>
      <c r="X10" t="s">
        <v>87</v>
      </c>
      <c r="Y10" t="s">
        <v>88</v>
      </c>
      <c r="AA10">
        <v>2</v>
      </c>
      <c r="AB10">
        <v>3</v>
      </c>
      <c r="AI10" s="1" t="s">
        <v>89</v>
      </c>
    </row>
    <row r="11" spans="1:35" ht="30">
      <c r="A11" s="9"/>
      <c r="B11" t="s">
        <v>71</v>
      </c>
      <c r="C11" t="s">
        <v>90</v>
      </c>
      <c r="D11" t="s">
        <v>91</v>
      </c>
      <c r="I11" s="24"/>
      <c r="Q11" s="15" t="s">
        <v>92</v>
      </c>
      <c r="U11" s="285"/>
      <c r="V11" t="s">
        <v>90</v>
      </c>
      <c r="W11" s="1" t="s">
        <v>91</v>
      </c>
      <c r="X11" t="s">
        <v>30</v>
      </c>
      <c r="Y11" t="s">
        <v>30</v>
      </c>
      <c r="Z11" t="s">
        <v>30</v>
      </c>
      <c r="AA11" t="s">
        <v>30</v>
      </c>
      <c r="AB11" t="s">
        <v>30</v>
      </c>
      <c r="AC11" t="s">
        <v>30</v>
      </c>
      <c r="AD11" t="s">
        <v>30</v>
      </c>
      <c r="AE11" t="s">
        <v>30</v>
      </c>
      <c r="AF11" t="s">
        <v>30</v>
      </c>
      <c r="AG11" t="s">
        <v>30</v>
      </c>
      <c r="AH11" t="s">
        <v>30</v>
      </c>
      <c r="AI11" t="s">
        <v>30</v>
      </c>
    </row>
    <row r="12" spans="1:35" ht="75">
      <c r="A12" s="9"/>
      <c r="C12" t="s">
        <v>72</v>
      </c>
      <c r="D12" s="295" t="s">
        <v>93</v>
      </c>
      <c r="E12" s="296" t="s">
        <v>94</v>
      </c>
      <c r="I12" s="24"/>
      <c r="Q12" s="15"/>
      <c r="U12" s="285"/>
      <c r="V12" s="1" t="s">
        <v>95</v>
      </c>
      <c r="W12" s="1" t="s">
        <v>96</v>
      </c>
      <c r="X12" t="s">
        <v>97</v>
      </c>
      <c r="Y12" s="1" t="s">
        <v>98</v>
      </c>
      <c r="Z12">
        <v>2</v>
      </c>
      <c r="AA12">
        <v>0</v>
      </c>
      <c r="AB12">
        <v>1</v>
      </c>
      <c r="AC12" s="29" t="s">
        <v>97</v>
      </c>
      <c r="AD12" s="29" t="s">
        <v>97</v>
      </c>
      <c r="AE12" s="29" t="s">
        <v>97</v>
      </c>
      <c r="AF12" s="29" t="s">
        <v>97</v>
      </c>
      <c r="AG12" s="29" t="s">
        <v>97</v>
      </c>
      <c r="AH12" s="29" t="s">
        <v>97</v>
      </c>
    </row>
    <row r="13" spans="1:35">
      <c r="A13" s="9"/>
      <c r="C13" t="s">
        <v>77</v>
      </c>
      <c r="D13" s="291"/>
      <c r="E13" s="343"/>
      <c r="I13" s="24"/>
      <c r="Q13" s="15"/>
      <c r="U13" s="285" t="s">
        <v>99</v>
      </c>
      <c r="V13" s="1" t="s">
        <v>100</v>
      </c>
      <c r="W13" s="287" t="s">
        <v>101</v>
      </c>
      <c r="X13" s="287" t="s">
        <v>97</v>
      </c>
      <c r="Y13" s="285"/>
      <c r="Z13" s="285"/>
      <c r="AC13" s="286" t="s">
        <v>97</v>
      </c>
      <c r="AD13" s="285" t="s">
        <v>97</v>
      </c>
      <c r="AE13" s="285" t="s">
        <v>97</v>
      </c>
      <c r="AF13" s="285" t="s">
        <v>97</v>
      </c>
      <c r="AG13" s="285" t="s">
        <v>97</v>
      </c>
      <c r="AH13" s="285" t="s">
        <v>97</v>
      </c>
      <c r="AI13" s="285"/>
    </row>
    <row r="14" spans="1:35" ht="30">
      <c r="A14" s="9"/>
      <c r="C14" s="1" t="s">
        <v>102</v>
      </c>
      <c r="D14" s="291"/>
      <c r="E14" s="343"/>
      <c r="I14" s="24"/>
      <c r="Q14" s="15"/>
      <c r="U14" s="285"/>
      <c r="V14" t="s">
        <v>103</v>
      </c>
      <c r="W14" s="287"/>
      <c r="X14" s="287"/>
      <c r="Y14" s="285"/>
      <c r="Z14" s="285"/>
      <c r="AC14" s="286"/>
      <c r="AD14" s="285"/>
      <c r="AE14" s="285"/>
      <c r="AF14" s="285"/>
      <c r="AG14" s="285"/>
      <c r="AH14" s="285"/>
      <c r="AI14" s="285"/>
    </row>
    <row r="15" spans="1:35" ht="45.75" customHeight="1">
      <c r="A15" s="9"/>
      <c r="C15" t="s">
        <v>90</v>
      </c>
      <c r="D15" s="292"/>
      <c r="E15" s="344"/>
      <c r="I15" s="24"/>
      <c r="Q15" s="15"/>
      <c r="U15" s="285"/>
      <c r="V15" t="s">
        <v>100</v>
      </c>
      <c r="W15" s="285" t="s">
        <v>104</v>
      </c>
      <c r="X15" s="285" t="s">
        <v>105</v>
      </c>
      <c r="Y15" s="286" t="s">
        <v>106</v>
      </c>
      <c r="Z15">
        <v>1</v>
      </c>
      <c r="AA15">
        <v>1</v>
      </c>
      <c r="AB15">
        <v>2</v>
      </c>
      <c r="AC15" s="286" t="s">
        <v>107</v>
      </c>
      <c r="AD15" s="285" t="s">
        <v>97</v>
      </c>
      <c r="AE15" s="285" t="s">
        <v>97</v>
      </c>
      <c r="AF15" s="285" t="s">
        <v>97</v>
      </c>
      <c r="AG15" s="285" t="s">
        <v>97</v>
      </c>
      <c r="AH15" s="285" t="s">
        <v>97</v>
      </c>
      <c r="AI15" s="285"/>
    </row>
    <row r="16" spans="1:35" ht="30">
      <c r="A16" s="7"/>
      <c r="B16" s="8" t="s">
        <v>108</v>
      </c>
      <c r="C16" s="16" t="s">
        <v>100</v>
      </c>
      <c r="D16" s="288" t="s">
        <v>101</v>
      </c>
      <c r="E16" s="4"/>
      <c r="F16" s="8"/>
      <c r="G16" s="8"/>
      <c r="H16" s="8"/>
      <c r="I16" s="290" t="s">
        <v>39</v>
      </c>
      <c r="J16" s="8"/>
      <c r="K16" s="8"/>
      <c r="L16" s="8"/>
      <c r="M16" s="8"/>
      <c r="N16" s="8"/>
      <c r="O16" s="8"/>
      <c r="P16" s="8"/>
      <c r="Q16" s="17" t="s">
        <v>109</v>
      </c>
      <c r="U16" s="285"/>
      <c r="V16" t="s">
        <v>103</v>
      </c>
      <c r="W16" s="285"/>
      <c r="X16" s="285"/>
      <c r="Y16" s="286"/>
      <c r="Z16">
        <v>2</v>
      </c>
      <c r="AA16">
        <v>0</v>
      </c>
      <c r="AB16">
        <v>1</v>
      </c>
      <c r="AC16" s="286"/>
      <c r="AD16" s="285"/>
      <c r="AE16" s="285"/>
      <c r="AF16" s="285"/>
      <c r="AG16" s="285"/>
      <c r="AH16" s="285"/>
      <c r="AI16" s="285"/>
    </row>
    <row r="17" spans="1:35" ht="30.75" customHeight="1">
      <c r="A17" s="19"/>
      <c r="B17" s="10" t="s">
        <v>108</v>
      </c>
      <c r="C17" s="10" t="s">
        <v>103</v>
      </c>
      <c r="D17" s="289"/>
      <c r="E17" s="6"/>
      <c r="F17" s="10"/>
      <c r="G17" s="10"/>
      <c r="H17" s="10"/>
      <c r="I17" s="292"/>
      <c r="J17" s="10"/>
      <c r="K17" s="10"/>
      <c r="L17" s="10"/>
      <c r="M17" s="10"/>
      <c r="N17" s="10"/>
      <c r="O17" s="10"/>
      <c r="P17" s="10"/>
      <c r="Q17" s="22"/>
      <c r="U17" s="285"/>
      <c r="V17" t="s">
        <v>110</v>
      </c>
      <c r="W17" s="285" t="s">
        <v>111</v>
      </c>
      <c r="X17" s="285" t="s">
        <v>112</v>
      </c>
      <c r="Y17" s="286" t="s">
        <v>113</v>
      </c>
      <c r="Z17" s="285">
        <v>1</v>
      </c>
      <c r="AA17">
        <v>0</v>
      </c>
      <c r="AB17">
        <v>1</v>
      </c>
      <c r="AC17" s="286" t="s">
        <v>107</v>
      </c>
      <c r="AD17" s="285" t="s">
        <v>97</v>
      </c>
      <c r="AE17" s="285" t="s">
        <v>97</v>
      </c>
      <c r="AF17" s="285" t="s">
        <v>97</v>
      </c>
      <c r="AG17" s="285" t="s">
        <v>97</v>
      </c>
      <c r="AH17" s="285" t="s">
        <v>97</v>
      </c>
      <c r="AI17" s="285"/>
    </row>
    <row r="18" spans="1:35" ht="30">
      <c r="A18" s="9"/>
      <c r="C18" s="26" t="s">
        <v>114</v>
      </c>
      <c r="U18" s="285"/>
      <c r="V18" t="s">
        <v>115</v>
      </c>
      <c r="W18" s="285"/>
      <c r="X18" s="285"/>
      <c r="Y18" s="286"/>
      <c r="Z18" s="285"/>
      <c r="AA18">
        <v>0</v>
      </c>
      <c r="AB18">
        <v>1</v>
      </c>
      <c r="AC18" s="286"/>
      <c r="AD18" s="285"/>
      <c r="AE18" s="285"/>
      <c r="AF18" s="285"/>
      <c r="AG18" s="285"/>
      <c r="AH18" s="285"/>
      <c r="AI18" s="285"/>
    </row>
    <row r="19" spans="1:35">
      <c r="A19" s="9"/>
      <c r="U19" s="285"/>
      <c r="V19" t="s">
        <v>116</v>
      </c>
      <c r="W19" s="285"/>
      <c r="X19" s="285"/>
      <c r="Y19" s="286"/>
      <c r="Z19" s="285"/>
      <c r="AA19">
        <v>0</v>
      </c>
      <c r="AB19">
        <v>1</v>
      </c>
      <c r="AC19" s="286"/>
      <c r="AD19" s="285"/>
      <c r="AE19" s="285"/>
      <c r="AF19" s="285"/>
      <c r="AG19" s="285"/>
      <c r="AH19" s="285"/>
    </row>
    <row r="20" spans="1:35">
      <c r="A20" s="9"/>
      <c r="C20" t="s">
        <v>117</v>
      </c>
    </row>
    <row r="21" spans="1:35">
      <c r="A21" s="9"/>
    </row>
    <row r="22" spans="1:35">
      <c r="A22" s="9"/>
    </row>
    <row r="23" spans="1:35">
      <c r="A23" s="9"/>
    </row>
    <row r="24" spans="1:35">
      <c r="A24" s="9"/>
    </row>
    <row r="25" spans="1:35">
      <c r="A25" s="9"/>
    </row>
    <row r="26" spans="1:35">
      <c r="A26" s="9"/>
    </row>
    <row r="27" spans="1:35">
      <c r="A27" s="9"/>
    </row>
    <row r="28" spans="1:35">
      <c r="A28" s="9"/>
    </row>
    <row r="29" spans="1:35">
      <c r="A29" s="9"/>
    </row>
    <row r="30" spans="1:35">
      <c r="A30" s="9"/>
    </row>
  </sheetData>
  <mergeCells count="76">
    <mergeCell ref="V6:V7"/>
    <mergeCell ref="U2:U9"/>
    <mergeCell ref="U10:U12"/>
    <mergeCell ref="AB6:AB7"/>
    <mergeCell ref="AA6:AA7"/>
    <mergeCell ref="Z6:Z7"/>
    <mergeCell ref="Y6:Y7"/>
    <mergeCell ref="W6:W7"/>
    <mergeCell ref="Z4:Z5"/>
    <mergeCell ref="Y4:Y5"/>
    <mergeCell ref="W4:W5"/>
    <mergeCell ref="W2:W3"/>
    <mergeCell ref="Y2:Y3"/>
    <mergeCell ref="J2:J3"/>
    <mergeCell ref="K2:K3"/>
    <mergeCell ref="Q2:Q3"/>
    <mergeCell ref="P2:P3"/>
    <mergeCell ref="O2:O3"/>
    <mergeCell ref="N2:N3"/>
    <mergeCell ref="M2:M3"/>
    <mergeCell ref="Q4:Q5"/>
    <mergeCell ref="J4:J5"/>
    <mergeCell ref="D8:D10"/>
    <mergeCell ref="A8:A10"/>
    <mergeCell ref="B8:B10"/>
    <mergeCell ref="J8:J10"/>
    <mergeCell ref="Q8:Q10"/>
    <mergeCell ref="D4:D5"/>
    <mergeCell ref="K4:K5"/>
    <mergeCell ref="P4:P5"/>
    <mergeCell ref="O4:O5"/>
    <mergeCell ref="N4:N5"/>
    <mergeCell ref="M4:M5"/>
    <mergeCell ref="E8:E10"/>
    <mergeCell ref="F8:F10"/>
    <mergeCell ref="D16:D17"/>
    <mergeCell ref="I2:I3"/>
    <mergeCell ref="I4:I5"/>
    <mergeCell ref="I8:I10"/>
    <mergeCell ref="I16:I17"/>
    <mergeCell ref="D2:D3"/>
    <mergeCell ref="D12:D15"/>
    <mergeCell ref="E12:E15"/>
    <mergeCell ref="U13:U19"/>
    <mergeCell ref="W17:W19"/>
    <mergeCell ref="X17:X19"/>
    <mergeCell ref="Y17:Y19"/>
    <mergeCell ref="W15:W16"/>
    <mergeCell ref="X15:X16"/>
    <mergeCell ref="Z17:Z19"/>
    <mergeCell ref="AG13:AG14"/>
    <mergeCell ref="W13:W14"/>
    <mergeCell ref="X13:X14"/>
    <mergeCell ref="Y13:Y14"/>
    <mergeCell ref="AH13:AH14"/>
    <mergeCell ref="AI13:AI14"/>
    <mergeCell ref="Y15:Y16"/>
    <mergeCell ref="AF15:AF16"/>
    <mergeCell ref="AG15:AG16"/>
    <mergeCell ref="AH15:AH16"/>
    <mergeCell ref="Z13:Z14"/>
    <mergeCell ref="AC13:AC14"/>
    <mergeCell ref="AD13:AD14"/>
    <mergeCell ref="AE13:AE14"/>
    <mergeCell ref="AF13:AF14"/>
    <mergeCell ref="AC15:AC16"/>
    <mergeCell ref="AD15:AD16"/>
    <mergeCell ref="AE15:AE16"/>
    <mergeCell ref="AI17:AI18"/>
    <mergeCell ref="AI15:AI16"/>
    <mergeCell ref="AC17:AC19"/>
    <mergeCell ref="AD17:AD19"/>
    <mergeCell ref="AE17:AE19"/>
    <mergeCell ref="AF17:AF19"/>
    <mergeCell ref="AG17:AG19"/>
    <mergeCell ref="AH17:AH19"/>
  </mergeCells>
  <dataValidations count="2">
    <dataValidation type="list" allowBlank="1" showInputMessage="1" showErrorMessage="1" sqref="A2:A8 A11:A30" xr:uid="{5FC820FC-CA8A-4260-B54E-44F84EC5D689}">
      <formula1>"in corso, proposta, confermato, concluso"</formula1>
    </dataValidation>
    <dataValidation type="list" allowBlank="1" showInputMessage="1" showErrorMessage="1" sqref="I6:I7" xr:uid="{00F1B4CF-91B7-4A6F-AF3A-4B88EC4B360A}">
      <formula1>"interno,esterno"</formula1>
    </dataValidation>
  </dataValidations>
  <hyperlinks>
    <hyperlink ref="K4" r:id="rId1" display="Link corso: https://training.linuxfoundation.org/training/linux-system-administration-essentials-lfs207/ " xr:uid="{5A1180A1-ED70-4B30-A64F-3EB31B14D9A8}"/>
    <hyperlink ref="K6" r:id="rId2" display="eForhum " xr:uid="{53589CE7-4A2F-4069-AE10-36F661A43587}"/>
    <hyperlink ref="AC2" r:id="rId3" xr:uid="{3268FF71-F0C2-45BD-B8F0-4755086F3AF4}"/>
    <hyperlink ref="AC3" r:id="rId4" xr:uid="{B31DAF0C-7967-4F81-82AA-779DEF86B709}"/>
    <hyperlink ref="AC4" r:id="rId5" xr:uid="{A30F8B5A-C42F-4BC9-A965-50466F16817F}"/>
    <hyperlink ref="AC5" r:id="rId6" xr:uid="{ED7B4563-E39A-4544-81D1-99A5D2CC4313}"/>
    <hyperlink ref="AC6" r:id="rId7" xr:uid="{5AF340EE-936C-48DA-8F8A-FC63B1D3EA98}"/>
    <hyperlink ref="AC7" r:id="rId8" xr:uid="{5915B210-A5A4-462B-A5C9-1CB52D566751}"/>
  </hyperlinks>
  <pageMargins left="0.7" right="0.7" top="0.75" bottom="0.75" header="0.3" footer="0.3"/>
  <legacy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8DC5A-5B98-42C6-89EE-B96614B90192}">
  <sheetPr filterMode="1"/>
  <dimension ref="A1:JM37"/>
  <sheetViews>
    <sheetView workbookViewId="0">
      <pane xSplit="1" ySplit="1" topLeftCell="J13" activePane="bottomRight" state="frozen"/>
      <selection pane="bottomRight" activeCell="N14" sqref="N14"/>
      <selection pane="bottomLeft"/>
      <selection pane="topRight"/>
    </sheetView>
  </sheetViews>
  <sheetFormatPr defaultRowHeight="15"/>
  <cols>
    <col min="1" max="1" width="19.42578125" style="106" customWidth="1"/>
    <col min="2" max="2" width="18.28515625" style="106" bestFit="1" customWidth="1"/>
    <col min="3" max="3" width="18.85546875" style="106" customWidth="1"/>
    <col min="4" max="4" width="23" style="106" customWidth="1"/>
    <col min="5" max="5" width="32.28515625" style="106" customWidth="1"/>
    <col min="6" max="6" width="13.7109375" style="106" customWidth="1"/>
    <col min="7" max="7" width="12.7109375" style="106" customWidth="1"/>
    <col min="8" max="8" width="13.5703125" style="106" customWidth="1"/>
    <col min="9" max="9" width="17.140625" style="106" customWidth="1"/>
    <col min="10" max="10" width="18.140625" style="106" customWidth="1"/>
    <col min="11" max="11" width="9.140625" style="106" customWidth="1"/>
    <col min="12" max="12" width="23.42578125" style="106" customWidth="1"/>
    <col min="13" max="13" width="18.28515625" style="106" customWidth="1"/>
    <col min="14" max="14" width="14.140625" style="186" customWidth="1"/>
    <col min="15" max="15" width="27.85546875" style="106" customWidth="1"/>
    <col min="16" max="16" width="61.85546875" style="162" customWidth="1"/>
    <col min="17" max="17" width="28" customWidth="1"/>
  </cols>
  <sheetData>
    <row r="1" spans="1:273" ht="21" customHeight="1">
      <c r="A1" s="44" t="s">
        <v>118</v>
      </c>
      <c r="B1" s="44" t="s">
        <v>2</v>
      </c>
      <c r="C1" s="44" t="s">
        <v>17</v>
      </c>
      <c r="D1" s="44" t="s">
        <v>18</v>
      </c>
      <c r="E1" s="44" t="s">
        <v>19</v>
      </c>
      <c r="F1" s="44" t="s">
        <v>5</v>
      </c>
      <c r="G1" s="44" t="s">
        <v>20</v>
      </c>
      <c r="H1" s="44" t="s">
        <v>7</v>
      </c>
      <c r="I1" s="44" t="s">
        <v>10</v>
      </c>
      <c r="J1" s="44" t="s">
        <v>9</v>
      </c>
      <c r="K1" s="44" t="s">
        <v>12</v>
      </c>
      <c r="L1" s="44" t="s">
        <v>13</v>
      </c>
      <c r="M1" s="44" t="s">
        <v>14</v>
      </c>
      <c r="N1" s="177" t="s">
        <v>15</v>
      </c>
      <c r="O1" s="44" t="s">
        <v>16</v>
      </c>
      <c r="P1" s="111" t="s">
        <v>0</v>
      </c>
    </row>
    <row r="2" spans="1:273" s="239" customFormat="1" ht="105">
      <c r="A2" s="245" t="s">
        <v>119</v>
      </c>
      <c r="B2" s="245" t="s">
        <v>120</v>
      </c>
      <c r="C2" s="245" t="s">
        <v>121</v>
      </c>
      <c r="D2" s="245" t="s">
        <v>122</v>
      </c>
      <c r="E2" s="245" t="s">
        <v>123</v>
      </c>
      <c r="F2" s="245">
        <v>1</v>
      </c>
      <c r="G2" s="245">
        <v>1</v>
      </c>
      <c r="H2" s="245">
        <v>2</v>
      </c>
      <c r="I2" s="246" t="s">
        <v>124</v>
      </c>
      <c r="J2" s="245" t="s">
        <v>125</v>
      </c>
      <c r="K2" s="245">
        <v>35</v>
      </c>
      <c r="L2" s="247">
        <v>46090</v>
      </c>
      <c r="M2" s="247">
        <v>46295</v>
      </c>
      <c r="N2" s="248">
        <v>559.54</v>
      </c>
      <c r="O2" s="245" t="s">
        <v>126</v>
      </c>
      <c r="P2" s="249" t="s">
        <v>127</v>
      </c>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c r="BR2" s="238"/>
      <c r="BS2" s="238"/>
      <c r="BT2" s="238"/>
      <c r="BU2" s="238"/>
      <c r="BV2" s="238"/>
      <c r="BW2" s="238"/>
      <c r="BX2" s="238"/>
      <c r="BY2" s="238"/>
      <c r="BZ2" s="238"/>
      <c r="CA2" s="238"/>
      <c r="CB2" s="238"/>
      <c r="CC2" s="238"/>
      <c r="CD2" s="238"/>
      <c r="CE2" s="238"/>
      <c r="CF2" s="238"/>
      <c r="CG2" s="238"/>
      <c r="CH2" s="238"/>
      <c r="CI2" s="238"/>
      <c r="CJ2" s="238"/>
      <c r="CK2" s="238"/>
      <c r="CL2" s="238"/>
      <c r="CM2" s="238"/>
      <c r="CN2" s="238"/>
      <c r="CO2" s="238"/>
      <c r="CP2" s="238"/>
      <c r="CQ2" s="238"/>
      <c r="CR2" s="238"/>
      <c r="CS2" s="238"/>
      <c r="CT2" s="238"/>
      <c r="CU2" s="238"/>
      <c r="CV2" s="238"/>
      <c r="CW2" s="238"/>
      <c r="CX2" s="238"/>
      <c r="CY2" s="238"/>
      <c r="CZ2" s="238"/>
      <c r="DA2" s="238"/>
      <c r="DB2" s="238"/>
      <c r="DC2" s="238"/>
      <c r="DD2" s="238"/>
      <c r="DE2" s="238"/>
      <c r="DF2" s="238"/>
      <c r="DG2" s="238"/>
      <c r="DH2" s="238"/>
      <c r="DI2" s="238"/>
      <c r="DJ2" s="238"/>
      <c r="DK2" s="238"/>
      <c r="DL2" s="238"/>
      <c r="DM2" s="238"/>
      <c r="DN2" s="238"/>
      <c r="DO2" s="238"/>
      <c r="DP2" s="238"/>
      <c r="DQ2" s="238"/>
      <c r="DR2" s="238"/>
      <c r="DS2" s="238"/>
      <c r="DT2" s="238"/>
      <c r="DU2" s="238"/>
      <c r="DV2" s="238"/>
      <c r="DW2" s="238"/>
      <c r="DX2" s="238"/>
      <c r="DY2" s="238"/>
      <c r="DZ2" s="238"/>
      <c r="EA2" s="238"/>
      <c r="EB2" s="238"/>
      <c r="EC2" s="238"/>
      <c r="ED2" s="238"/>
      <c r="EE2" s="238"/>
      <c r="EF2" s="238"/>
      <c r="EG2" s="238"/>
      <c r="EH2" s="238"/>
      <c r="EI2" s="238"/>
      <c r="EJ2" s="238"/>
      <c r="EK2" s="238"/>
      <c r="EL2" s="238"/>
      <c r="EM2" s="238"/>
      <c r="EN2" s="238"/>
      <c r="EO2" s="238"/>
      <c r="EP2" s="238"/>
      <c r="EQ2" s="238"/>
      <c r="ER2" s="238"/>
      <c r="ES2" s="238"/>
      <c r="ET2" s="238"/>
      <c r="EU2" s="238"/>
      <c r="EV2" s="238"/>
      <c r="EW2" s="238"/>
      <c r="EX2" s="238"/>
      <c r="EY2" s="238"/>
      <c r="EZ2" s="238"/>
      <c r="FA2" s="238"/>
      <c r="FB2" s="238"/>
      <c r="FC2" s="238"/>
      <c r="FD2" s="238"/>
      <c r="FE2" s="238"/>
      <c r="FF2" s="238"/>
      <c r="FG2" s="238"/>
      <c r="FH2" s="238"/>
      <c r="FI2" s="238"/>
      <c r="FJ2" s="238"/>
      <c r="FK2" s="238"/>
      <c r="FL2" s="238"/>
      <c r="FM2" s="238"/>
      <c r="FN2" s="238"/>
      <c r="FO2" s="238"/>
      <c r="FP2" s="238"/>
      <c r="FQ2" s="238"/>
      <c r="FR2" s="238"/>
      <c r="FS2" s="238"/>
      <c r="FT2" s="238"/>
      <c r="FU2" s="238"/>
      <c r="FV2" s="238"/>
      <c r="FW2" s="238"/>
      <c r="FX2" s="238"/>
      <c r="FY2" s="238"/>
      <c r="FZ2" s="238"/>
      <c r="GA2" s="238"/>
      <c r="GB2" s="238"/>
      <c r="GC2" s="238"/>
      <c r="GD2" s="238"/>
      <c r="GE2" s="238"/>
      <c r="GF2" s="238"/>
      <c r="GG2" s="238"/>
      <c r="GH2" s="238"/>
      <c r="GI2" s="238"/>
      <c r="GJ2" s="238"/>
      <c r="GK2" s="238"/>
      <c r="GL2" s="238"/>
      <c r="GM2" s="238"/>
      <c r="GN2" s="238"/>
      <c r="GO2" s="238"/>
      <c r="GP2" s="238"/>
      <c r="GQ2" s="238"/>
      <c r="GR2" s="238"/>
      <c r="GS2" s="238"/>
      <c r="GT2" s="238"/>
      <c r="GU2" s="238"/>
      <c r="GV2" s="238"/>
      <c r="GW2" s="238"/>
      <c r="GX2" s="238"/>
      <c r="GY2" s="238"/>
      <c r="GZ2" s="238"/>
      <c r="HA2" s="238"/>
      <c r="HB2" s="238"/>
      <c r="HC2" s="238"/>
      <c r="HD2" s="238"/>
      <c r="HE2" s="238"/>
      <c r="HF2" s="238"/>
      <c r="HG2" s="238"/>
      <c r="HH2" s="238"/>
      <c r="HI2" s="238"/>
      <c r="HJ2" s="238"/>
      <c r="HK2" s="238"/>
      <c r="HL2" s="238"/>
      <c r="HM2" s="238"/>
      <c r="HN2" s="238"/>
      <c r="HO2" s="238"/>
      <c r="HP2" s="238"/>
      <c r="HQ2" s="238"/>
      <c r="HR2" s="238"/>
      <c r="HS2" s="238"/>
      <c r="HT2" s="238"/>
      <c r="HU2" s="238"/>
      <c r="HV2" s="238"/>
      <c r="HW2" s="238"/>
      <c r="HX2" s="238"/>
      <c r="HY2" s="238"/>
      <c r="HZ2" s="238"/>
      <c r="IA2" s="238"/>
      <c r="IB2" s="238"/>
      <c r="IC2" s="238"/>
      <c r="ID2" s="238"/>
      <c r="IE2" s="238"/>
      <c r="IF2" s="238"/>
      <c r="IG2" s="238"/>
      <c r="IH2" s="238"/>
      <c r="II2" s="238"/>
      <c r="IJ2" s="238"/>
      <c r="IK2" s="238"/>
      <c r="IL2" s="238"/>
      <c r="IM2" s="238"/>
      <c r="IN2" s="238"/>
      <c r="IO2" s="238"/>
      <c r="IP2" s="238"/>
      <c r="IQ2" s="238"/>
      <c r="IR2" s="238"/>
      <c r="IS2" s="238"/>
      <c r="IT2" s="238"/>
      <c r="IU2" s="238"/>
      <c r="IV2" s="238"/>
      <c r="IW2" s="238"/>
      <c r="IX2" s="238"/>
      <c r="IY2" s="238"/>
      <c r="IZ2" s="238"/>
      <c r="JA2" s="238"/>
      <c r="JB2" s="238"/>
      <c r="JC2" s="238"/>
      <c r="JD2" s="238"/>
      <c r="JE2" s="238"/>
      <c r="JF2" s="238"/>
      <c r="JG2" s="238"/>
      <c r="JH2" s="238"/>
      <c r="JI2" s="238"/>
      <c r="JJ2" s="238"/>
      <c r="JK2" s="238"/>
      <c r="JL2" s="238"/>
      <c r="JM2" s="238"/>
    </row>
    <row r="3" spans="1:273" s="241" customFormat="1" ht="75">
      <c r="A3" s="250" t="s">
        <v>119</v>
      </c>
      <c r="B3" s="250" t="s">
        <v>128</v>
      </c>
      <c r="C3" s="250" t="s">
        <v>129</v>
      </c>
      <c r="D3" s="250" t="s">
        <v>130</v>
      </c>
      <c r="E3" s="250" t="s">
        <v>131</v>
      </c>
      <c r="F3" s="250">
        <v>1</v>
      </c>
      <c r="G3" s="250">
        <v>1</v>
      </c>
      <c r="H3" s="250">
        <v>2</v>
      </c>
      <c r="I3" s="251" t="s">
        <v>132</v>
      </c>
      <c r="J3" s="250" t="s">
        <v>133</v>
      </c>
      <c r="K3" s="250">
        <v>152</v>
      </c>
      <c r="L3" s="252">
        <v>46167</v>
      </c>
      <c r="M3" s="252">
        <v>46532</v>
      </c>
      <c r="N3" s="253">
        <v>155.18</v>
      </c>
      <c r="O3" s="250" t="s">
        <v>134</v>
      </c>
      <c r="P3" s="254" t="s">
        <v>135</v>
      </c>
      <c r="Q3" s="240"/>
      <c r="R3" s="240"/>
      <c r="S3" s="240"/>
      <c r="T3" s="240"/>
      <c r="U3" s="240"/>
      <c r="V3" s="240"/>
      <c r="W3" s="240"/>
      <c r="X3" s="240"/>
      <c r="Y3" s="240"/>
      <c r="Z3" s="240"/>
      <c r="AA3" s="240"/>
      <c r="AB3" s="240"/>
      <c r="AC3" s="240"/>
      <c r="AD3" s="240"/>
      <c r="AE3" s="240"/>
      <c r="AF3" s="240"/>
      <c r="AG3" s="240"/>
      <c r="AH3" s="240"/>
      <c r="AI3" s="240"/>
      <c r="AJ3" s="240"/>
      <c r="AK3" s="240"/>
      <c r="AL3" s="240"/>
      <c r="AM3" s="240"/>
      <c r="AN3" s="240"/>
      <c r="AO3" s="240"/>
      <c r="AP3" s="240"/>
      <c r="AQ3" s="240"/>
      <c r="AR3" s="240"/>
      <c r="AS3" s="240"/>
      <c r="AT3" s="240"/>
      <c r="AU3" s="240"/>
      <c r="AV3" s="240"/>
      <c r="AW3" s="240"/>
      <c r="AX3" s="240"/>
      <c r="AY3" s="240"/>
      <c r="AZ3" s="240"/>
      <c r="BA3" s="240"/>
      <c r="BB3" s="240"/>
      <c r="BC3" s="240"/>
      <c r="BD3" s="240"/>
      <c r="BE3" s="240"/>
      <c r="BF3" s="240"/>
      <c r="BG3" s="240"/>
      <c r="BH3" s="240"/>
      <c r="BI3" s="240"/>
      <c r="BJ3" s="240"/>
      <c r="BK3" s="240"/>
      <c r="BL3" s="240"/>
      <c r="BM3" s="240"/>
      <c r="BN3" s="240"/>
      <c r="BO3" s="240"/>
      <c r="BP3" s="240"/>
      <c r="BQ3" s="240"/>
      <c r="BR3" s="240"/>
      <c r="BS3" s="240"/>
      <c r="BT3" s="240"/>
      <c r="BU3" s="240"/>
      <c r="BV3" s="240"/>
      <c r="BW3" s="240"/>
      <c r="BX3" s="240"/>
      <c r="BY3" s="240"/>
      <c r="BZ3" s="240"/>
      <c r="CA3" s="240"/>
      <c r="CB3" s="240"/>
      <c r="CC3" s="240"/>
      <c r="CD3" s="240"/>
      <c r="CE3" s="240"/>
      <c r="CF3" s="240"/>
      <c r="CG3" s="240"/>
      <c r="CH3" s="240"/>
      <c r="CI3" s="240"/>
      <c r="CJ3" s="240"/>
      <c r="CK3" s="240"/>
      <c r="CL3" s="240"/>
      <c r="CM3" s="240"/>
      <c r="CN3" s="240"/>
      <c r="CO3" s="240"/>
      <c r="CP3" s="240"/>
      <c r="CQ3" s="240"/>
      <c r="CR3" s="240"/>
      <c r="CS3" s="240"/>
      <c r="CT3" s="240"/>
      <c r="CU3" s="240"/>
      <c r="CV3" s="240"/>
      <c r="CW3" s="240"/>
      <c r="CX3" s="240"/>
      <c r="CY3" s="240"/>
      <c r="CZ3" s="240"/>
      <c r="DA3" s="240"/>
      <c r="DB3" s="240"/>
      <c r="DC3" s="240"/>
      <c r="DD3" s="240"/>
      <c r="DE3" s="240"/>
      <c r="DF3" s="240"/>
      <c r="DG3" s="240"/>
      <c r="DH3" s="240"/>
      <c r="DI3" s="240"/>
      <c r="DJ3" s="240"/>
      <c r="DK3" s="240"/>
      <c r="DL3" s="240"/>
      <c r="DM3" s="240"/>
      <c r="DN3" s="240"/>
      <c r="DO3" s="240"/>
      <c r="DP3" s="240"/>
      <c r="DQ3" s="240"/>
      <c r="DR3" s="240"/>
      <c r="DS3" s="240"/>
      <c r="DT3" s="240"/>
      <c r="DU3" s="240"/>
      <c r="DV3" s="240"/>
      <c r="DW3" s="240"/>
      <c r="DX3" s="240"/>
      <c r="DY3" s="240"/>
      <c r="DZ3" s="240"/>
      <c r="EA3" s="240"/>
      <c r="EB3" s="240"/>
      <c r="EC3" s="240"/>
      <c r="ED3" s="240"/>
      <c r="EE3" s="240"/>
      <c r="EF3" s="240"/>
      <c r="EG3" s="240"/>
      <c r="EH3" s="240"/>
      <c r="EI3" s="240"/>
      <c r="EJ3" s="240"/>
      <c r="EK3" s="240"/>
      <c r="EL3" s="240"/>
      <c r="EM3" s="240"/>
      <c r="EN3" s="240"/>
      <c r="EO3" s="240"/>
      <c r="EP3" s="240"/>
      <c r="EQ3" s="240"/>
      <c r="ER3" s="240"/>
      <c r="ES3" s="240"/>
      <c r="ET3" s="240"/>
      <c r="EU3" s="240"/>
      <c r="EV3" s="240"/>
      <c r="EW3" s="240"/>
      <c r="EX3" s="240"/>
      <c r="EY3" s="240"/>
      <c r="EZ3" s="240"/>
      <c r="FA3" s="240"/>
      <c r="FB3" s="240"/>
      <c r="FC3" s="240"/>
      <c r="FD3" s="240"/>
      <c r="FE3" s="240"/>
      <c r="FF3" s="240"/>
      <c r="FG3" s="240"/>
      <c r="FH3" s="240"/>
      <c r="FI3" s="240"/>
      <c r="FJ3" s="240"/>
      <c r="FK3" s="240"/>
      <c r="FL3" s="240"/>
      <c r="FM3" s="240"/>
      <c r="FN3" s="240"/>
      <c r="FO3" s="240"/>
      <c r="FP3" s="240"/>
      <c r="FQ3" s="240"/>
      <c r="FR3" s="240"/>
      <c r="FS3" s="240"/>
      <c r="FT3" s="240"/>
      <c r="FU3" s="240"/>
      <c r="FV3" s="240"/>
      <c r="FW3" s="240"/>
      <c r="FX3" s="240"/>
      <c r="FY3" s="240"/>
      <c r="FZ3" s="240"/>
      <c r="GA3" s="240"/>
      <c r="GB3" s="240"/>
      <c r="GC3" s="240"/>
      <c r="GD3" s="240"/>
      <c r="GE3" s="240"/>
      <c r="GF3" s="240"/>
      <c r="GG3" s="240"/>
      <c r="GH3" s="240"/>
      <c r="GI3" s="240"/>
      <c r="GJ3" s="240"/>
      <c r="GK3" s="240"/>
      <c r="GL3" s="240"/>
      <c r="GM3" s="240"/>
      <c r="GN3" s="240"/>
      <c r="GO3" s="240"/>
      <c r="GP3" s="240"/>
      <c r="GQ3" s="240"/>
      <c r="GR3" s="240"/>
      <c r="GS3" s="240"/>
      <c r="GT3" s="240"/>
      <c r="GU3" s="240"/>
      <c r="GV3" s="240"/>
      <c r="GW3" s="240"/>
      <c r="GX3" s="240"/>
      <c r="GY3" s="240"/>
      <c r="GZ3" s="240"/>
      <c r="HA3" s="240"/>
      <c r="HB3" s="240"/>
      <c r="HC3" s="240"/>
      <c r="HD3" s="240"/>
      <c r="HE3" s="240"/>
      <c r="HF3" s="240"/>
      <c r="HG3" s="240"/>
      <c r="HH3" s="240"/>
      <c r="HI3" s="240"/>
      <c r="HJ3" s="240"/>
      <c r="HK3" s="240"/>
      <c r="HL3" s="240"/>
      <c r="HM3" s="240"/>
      <c r="HN3" s="240"/>
      <c r="HO3" s="240"/>
      <c r="HP3" s="240"/>
      <c r="HQ3" s="240"/>
      <c r="HR3" s="240"/>
      <c r="HS3" s="240"/>
      <c r="HT3" s="240"/>
      <c r="HU3" s="240"/>
      <c r="HV3" s="240"/>
      <c r="HW3" s="240"/>
      <c r="HX3" s="240"/>
      <c r="HY3" s="240"/>
      <c r="HZ3" s="240"/>
      <c r="IA3" s="240"/>
      <c r="IB3" s="240"/>
      <c r="IC3" s="240"/>
      <c r="ID3" s="240"/>
      <c r="IE3" s="240"/>
      <c r="IF3" s="240"/>
      <c r="IG3" s="240"/>
      <c r="IH3" s="240"/>
      <c r="II3" s="240"/>
      <c r="IJ3" s="240"/>
      <c r="IK3" s="240"/>
      <c r="IL3" s="240"/>
      <c r="IM3" s="240"/>
      <c r="IN3" s="240"/>
      <c r="IO3" s="240"/>
      <c r="IP3" s="240"/>
      <c r="IQ3" s="240"/>
      <c r="IR3" s="240"/>
      <c r="IS3" s="240"/>
      <c r="IT3" s="240"/>
      <c r="IU3" s="240"/>
      <c r="IV3" s="240"/>
      <c r="IW3" s="240"/>
      <c r="IX3" s="240"/>
      <c r="IY3" s="240"/>
      <c r="IZ3" s="240"/>
      <c r="JA3" s="240"/>
      <c r="JB3" s="240"/>
      <c r="JC3" s="240"/>
      <c r="JD3" s="240"/>
      <c r="JE3" s="240"/>
      <c r="JF3" s="240"/>
      <c r="JG3" s="240"/>
      <c r="JH3" s="240"/>
      <c r="JI3" s="240"/>
      <c r="JJ3" s="240"/>
      <c r="JK3" s="240"/>
      <c r="JL3" s="240"/>
      <c r="JM3" s="240"/>
    </row>
    <row r="4" spans="1:273" s="241" customFormat="1" ht="75">
      <c r="A4" s="250" t="s">
        <v>136</v>
      </c>
      <c r="B4" s="255" t="s">
        <v>137</v>
      </c>
      <c r="C4" s="250" t="s">
        <v>138</v>
      </c>
      <c r="D4" s="250" t="s">
        <v>139</v>
      </c>
      <c r="E4" s="250" t="s">
        <v>140</v>
      </c>
      <c r="F4" s="250">
        <v>1</v>
      </c>
      <c r="G4" s="250">
        <v>0</v>
      </c>
      <c r="H4" s="250">
        <v>1</v>
      </c>
      <c r="I4" s="256" t="s">
        <v>141</v>
      </c>
      <c r="J4" s="250" t="s">
        <v>142</v>
      </c>
      <c r="K4" s="257">
        <v>4</v>
      </c>
      <c r="L4" s="250" t="s">
        <v>82</v>
      </c>
      <c r="M4" s="250" t="s">
        <v>82</v>
      </c>
      <c r="N4" s="253">
        <v>1700</v>
      </c>
      <c r="O4" s="250"/>
      <c r="P4" s="258" t="s">
        <v>143</v>
      </c>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40"/>
      <c r="AW4" s="240"/>
      <c r="AX4" s="240"/>
      <c r="AY4" s="240"/>
      <c r="AZ4" s="240"/>
      <c r="BA4" s="240"/>
      <c r="BB4" s="240"/>
      <c r="BC4" s="240"/>
      <c r="BD4" s="240"/>
      <c r="BE4" s="240"/>
      <c r="BF4" s="240"/>
      <c r="BG4" s="240"/>
      <c r="BH4" s="240"/>
      <c r="BI4" s="240"/>
      <c r="BJ4" s="240"/>
      <c r="BK4" s="240"/>
      <c r="BL4" s="240"/>
      <c r="BM4" s="240"/>
      <c r="BN4" s="240"/>
      <c r="BO4" s="240"/>
      <c r="BP4" s="240"/>
      <c r="BQ4" s="240"/>
      <c r="BR4" s="240"/>
      <c r="BS4" s="240"/>
      <c r="BT4" s="240"/>
      <c r="BU4" s="240"/>
      <c r="BV4" s="240"/>
      <c r="BW4" s="240"/>
      <c r="BX4" s="240"/>
      <c r="BY4" s="240"/>
      <c r="BZ4" s="240"/>
      <c r="CA4" s="240"/>
      <c r="CB4" s="240"/>
      <c r="CC4" s="240"/>
      <c r="CD4" s="240"/>
      <c r="CE4" s="240"/>
      <c r="CF4" s="240"/>
      <c r="CG4" s="240"/>
      <c r="CH4" s="240"/>
      <c r="CI4" s="240"/>
      <c r="CJ4" s="240"/>
      <c r="CK4" s="240"/>
      <c r="CL4" s="240"/>
      <c r="CM4" s="240"/>
      <c r="CN4" s="240"/>
      <c r="CO4" s="240"/>
      <c r="CP4" s="240"/>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c r="HU4" s="240"/>
      <c r="HV4" s="240"/>
      <c r="HW4" s="240"/>
      <c r="HX4" s="240"/>
      <c r="HY4" s="240"/>
      <c r="HZ4" s="240"/>
      <c r="IA4" s="240"/>
      <c r="IB4" s="240"/>
      <c r="IC4" s="240"/>
      <c r="ID4" s="240"/>
      <c r="IE4" s="240"/>
      <c r="IF4" s="240"/>
      <c r="IG4" s="240"/>
      <c r="IH4" s="240"/>
      <c r="II4" s="240"/>
      <c r="IJ4" s="240"/>
      <c r="IK4" s="240"/>
      <c r="IL4" s="240"/>
      <c r="IM4" s="240"/>
      <c r="IN4" s="240"/>
      <c r="IO4" s="240"/>
      <c r="IP4" s="240"/>
      <c r="IQ4" s="240"/>
      <c r="IR4" s="240"/>
      <c r="IS4" s="240"/>
      <c r="IT4" s="240"/>
      <c r="IU4" s="240"/>
      <c r="IV4" s="240"/>
      <c r="IW4" s="240"/>
      <c r="IX4" s="240"/>
      <c r="IY4" s="240"/>
      <c r="IZ4" s="240"/>
      <c r="JA4" s="240"/>
      <c r="JB4" s="240"/>
      <c r="JC4" s="240"/>
      <c r="JD4" s="240"/>
      <c r="JE4" s="240"/>
      <c r="JF4" s="240"/>
      <c r="JG4" s="240"/>
      <c r="JH4" s="240"/>
      <c r="JI4" s="240"/>
      <c r="JJ4" s="240"/>
      <c r="JK4" s="240"/>
      <c r="JL4" s="240"/>
      <c r="JM4" s="240"/>
    </row>
    <row r="5" spans="1:273" s="135" customFormat="1" ht="135">
      <c r="A5" s="137" t="s">
        <v>144</v>
      </c>
      <c r="B5" s="137" t="s">
        <v>145</v>
      </c>
      <c r="C5" s="137" t="s">
        <v>146</v>
      </c>
      <c r="D5" s="137" t="s">
        <v>147</v>
      </c>
      <c r="E5" s="138" t="s">
        <v>148</v>
      </c>
      <c r="F5" s="137">
        <v>1</v>
      </c>
      <c r="G5" s="137">
        <v>2</v>
      </c>
      <c r="H5" s="137">
        <v>3</v>
      </c>
      <c r="I5" s="136" t="s">
        <v>149</v>
      </c>
      <c r="J5" s="137" t="s">
        <v>150</v>
      </c>
      <c r="K5" s="137">
        <v>16</v>
      </c>
      <c r="L5" s="138" t="s">
        <v>151</v>
      </c>
      <c r="M5" s="137" t="s">
        <v>30</v>
      </c>
      <c r="N5" s="179">
        <v>1325</v>
      </c>
      <c r="O5" s="137"/>
      <c r="P5" s="162" t="s">
        <v>152</v>
      </c>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row>
    <row r="6" spans="1:273" s="135" customFormat="1" ht="120">
      <c r="A6" s="137" t="s">
        <v>153</v>
      </c>
      <c r="B6" s="132" t="s">
        <v>154</v>
      </c>
      <c r="C6" s="132" t="s">
        <v>155</v>
      </c>
      <c r="D6" s="132" t="s">
        <v>156</v>
      </c>
      <c r="E6" s="132" t="s">
        <v>157</v>
      </c>
      <c r="F6" s="132">
        <v>1</v>
      </c>
      <c r="G6" s="132">
        <v>0</v>
      </c>
      <c r="H6" s="132">
        <v>1</v>
      </c>
      <c r="I6" s="133" t="s">
        <v>158</v>
      </c>
      <c r="J6" s="132" t="s">
        <v>159</v>
      </c>
      <c r="K6" s="132">
        <v>16</v>
      </c>
      <c r="L6" s="134">
        <v>46337</v>
      </c>
      <c r="M6" s="134">
        <v>46338</v>
      </c>
      <c r="N6" s="180">
        <v>1600</v>
      </c>
      <c r="O6" s="132" t="s">
        <v>160</v>
      </c>
      <c r="P6" s="162" t="s">
        <v>152</v>
      </c>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row>
    <row r="7" spans="1:273" s="135" customFormat="1" ht="90">
      <c r="A7" s="137" t="s">
        <v>153</v>
      </c>
      <c r="B7" s="132" t="s">
        <v>161</v>
      </c>
      <c r="C7" s="132" t="s">
        <v>162</v>
      </c>
      <c r="D7" s="132" t="s">
        <v>162</v>
      </c>
      <c r="E7" s="132" t="s">
        <v>163</v>
      </c>
      <c r="F7" s="132">
        <v>1</v>
      </c>
      <c r="G7" s="132">
        <v>0</v>
      </c>
      <c r="H7" s="132">
        <v>1</v>
      </c>
      <c r="I7" s="133" t="s">
        <v>164</v>
      </c>
      <c r="J7" s="132" t="s">
        <v>165</v>
      </c>
      <c r="K7" s="132">
        <v>5</v>
      </c>
      <c r="L7" s="132" t="s">
        <v>166</v>
      </c>
      <c r="M7" s="132" t="s">
        <v>166</v>
      </c>
      <c r="N7" s="178">
        <v>590</v>
      </c>
      <c r="O7" s="139" t="s">
        <v>167</v>
      </c>
      <c r="P7" s="101" t="s">
        <v>168</v>
      </c>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row>
    <row r="8" spans="1:273" s="157" customFormat="1" ht="195">
      <c r="A8" s="157" t="s">
        <v>153</v>
      </c>
      <c r="B8" s="158" t="s">
        <v>169</v>
      </c>
      <c r="C8" s="157" t="s">
        <v>170</v>
      </c>
      <c r="D8" s="159" t="s">
        <v>171</v>
      </c>
      <c r="E8" s="158" t="s">
        <v>172</v>
      </c>
      <c r="F8" s="157">
        <v>1</v>
      </c>
      <c r="G8" s="157">
        <v>0</v>
      </c>
      <c r="H8" s="157">
        <v>1</v>
      </c>
      <c r="I8" s="160" t="s">
        <v>173</v>
      </c>
      <c r="J8" s="158" t="s">
        <v>174</v>
      </c>
      <c r="K8" s="157">
        <v>36</v>
      </c>
      <c r="L8" s="188" t="s">
        <v>175</v>
      </c>
      <c r="N8" s="204"/>
      <c r="O8" s="136" t="s">
        <v>176</v>
      </c>
      <c r="P8" s="103" t="s">
        <v>177</v>
      </c>
      <c r="Q8" s="121"/>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c r="BS8" s="120"/>
      <c r="BT8" s="120"/>
      <c r="BU8" s="120"/>
      <c r="BV8" s="120"/>
      <c r="BW8" s="120"/>
      <c r="BX8" s="120"/>
      <c r="BY8" s="120"/>
      <c r="BZ8" s="120"/>
      <c r="CA8" s="120"/>
      <c r="CB8" s="120"/>
      <c r="CC8" s="120"/>
      <c r="CD8" s="120"/>
      <c r="CE8" s="120"/>
      <c r="CF8" s="120"/>
      <c r="CG8" s="120"/>
      <c r="CH8" s="120"/>
      <c r="CI8" s="120"/>
      <c r="CJ8" s="120"/>
      <c r="CK8" s="120"/>
      <c r="CL8" s="120"/>
      <c r="CM8" s="120"/>
      <c r="CN8" s="120"/>
      <c r="CO8" s="120"/>
      <c r="CP8" s="120"/>
      <c r="CQ8" s="120"/>
      <c r="CR8" s="120"/>
      <c r="CS8" s="120"/>
      <c r="CT8" s="120"/>
      <c r="CU8" s="120"/>
      <c r="CV8" s="120"/>
      <c r="CW8" s="120"/>
      <c r="CX8" s="120"/>
      <c r="CY8" s="120"/>
      <c r="CZ8" s="120"/>
      <c r="DA8" s="120"/>
      <c r="DB8" s="120"/>
      <c r="DC8" s="120"/>
      <c r="DD8" s="120"/>
      <c r="DE8" s="120"/>
      <c r="DF8" s="120"/>
      <c r="DG8" s="120"/>
      <c r="DH8" s="120"/>
      <c r="DI8" s="120"/>
      <c r="DJ8" s="120"/>
      <c r="DK8" s="120"/>
      <c r="DL8" s="120"/>
      <c r="DM8" s="120"/>
      <c r="DN8" s="120"/>
      <c r="DO8" s="120"/>
      <c r="DP8" s="120"/>
      <c r="DQ8" s="120"/>
      <c r="DR8" s="120"/>
      <c r="DS8" s="120"/>
      <c r="DT8" s="120"/>
      <c r="DU8" s="120"/>
      <c r="DV8" s="120"/>
      <c r="DW8" s="120"/>
      <c r="DX8" s="120"/>
      <c r="DY8" s="120"/>
      <c r="DZ8" s="120"/>
      <c r="EA8" s="120"/>
      <c r="EB8" s="120"/>
      <c r="EC8" s="120"/>
      <c r="ED8" s="120"/>
      <c r="EE8" s="120"/>
      <c r="EF8" s="120"/>
      <c r="EG8" s="120"/>
      <c r="EH8" s="120"/>
      <c r="EI8" s="120"/>
      <c r="EJ8" s="120"/>
      <c r="EK8" s="120"/>
      <c r="EL8" s="120"/>
      <c r="EM8" s="120"/>
      <c r="EN8" s="120"/>
      <c r="EO8" s="120"/>
      <c r="EP8" s="120"/>
      <c r="EQ8" s="120"/>
      <c r="ER8" s="120"/>
      <c r="ES8" s="120"/>
      <c r="ET8" s="120"/>
      <c r="EU8" s="120"/>
      <c r="EV8" s="120"/>
      <c r="EW8" s="120"/>
      <c r="EX8" s="120"/>
      <c r="EY8" s="120"/>
      <c r="EZ8" s="120"/>
      <c r="FA8" s="120"/>
      <c r="FB8" s="120"/>
      <c r="FC8" s="120"/>
      <c r="FD8" s="120"/>
      <c r="FE8" s="120"/>
      <c r="FF8" s="120"/>
      <c r="FG8" s="120"/>
      <c r="FH8" s="120"/>
      <c r="FI8" s="120"/>
      <c r="FJ8" s="120"/>
      <c r="FK8" s="120"/>
      <c r="FL8" s="120"/>
      <c r="FM8" s="120"/>
      <c r="FN8" s="120"/>
      <c r="FO8" s="120"/>
      <c r="FP8" s="120"/>
      <c r="FQ8" s="120"/>
      <c r="FR8" s="120"/>
      <c r="FS8" s="120"/>
      <c r="FT8" s="120"/>
      <c r="FU8" s="120"/>
      <c r="FV8" s="120"/>
      <c r="FW8" s="120"/>
      <c r="FX8" s="120"/>
      <c r="FY8" s="120"/>
      <c r="FZ8" s="120"/>
      <c r="GA8" s="120"/>
      <c r="GB8" s="120"/>
      <c r="GC8" s="120"/>
      <c r="GD8" s="120"/>
      <c r="GE8" s="120"/>
      <c r="GF8" s="120"/>
      <c r="GG8" s="120"/>
      <c r="GH8" s="120"/>
      <c r="GI8" s="120"/>
      <c r="GJ8" s="120"/>
      <c r="GK8" s="120"/>
      <c r="GL8" s="120"/>
      <c r="GM8" s="120"/>
      <c r="GN8" s="120"/>
      <c r="GO8" s="120"/>
      <c r="GP8" s="120"/>
      <c r="GQ8" s="120"/>
      <c r="GR8" s="120"/>
      <c r="GS8" s="120"/>
      <c r="GT8" s="120"/>
      <c r="GU8" s="120"/>
      <c r="GV8" s="120"/>
      <c r="GW8" s="120"/>
      <c r="GX8" s="120"/>
      <c r="GY8" s="120"/>
      <c r="GZ8" s="120"/>
      <c r="HA8" s="120"/>
      <c r="HB8" s="120"/>
      <c r="HC8" s="120"/>
      <c r="HD8" s="120"/>
      <c r="HE8" s="120"/>
      <c r="HF8" s="120"/>
      <c r="HG8" s="120"/>
      <c r="HH8" s="120"/>
      <c r="HI8" s="120"/>
      <c r="HJ8" s="120"/>
      <c r="HK8" s="120"/>
      <c r="HL8" s="120"/>
      <c r="HM8" s="120"/>
      <c r="HN8" s="120"/>
      <c r="HO8" s="120"/>
      <c r="HP8" s="120"/>
      <c r="HQ8" s="120"/>
      <c r="HR8" s="120"/>
      <c r="HS8" s="120"/>
      <c r="HT8" s="120"/>
      <c r="HU8" s="120"/>
      <c r="HV8" s="120"/>
      <c r="HW8" s="120"/>
      <c r="HX8" s="120"/>
      <c r="HY8" s="120"/>
      <c r="HZ8" s="120"/>
      <c r="IA8" s="120"/>
      <c r="IB8" s="120"/>
      <c r="IC8" s="120"/>
      <c r="ID8" s="120"/>
      <c r="IE8" s="120"/>
      <c r="IF8" s="120"/>
      <c r="IG8" s="120"/>
      <c r="IH8" s="120"/>
      <c r="II8" s="120"/>
      <c r="IJ8" s="120"/>
      <c r="IK8" s="120"/>
      <c r="IL8" s="120"/>
      <c r="IM8" s="120"/>
      <c r="IN8" s="120"/>
      <c r="IO8" s="120"/>
      <c r="IP8" s="120"/>
      <c r="IQ8" s="120"/>
      <c r="IR8" s="120"/>
      <c r="IS8" s="120"/>
      <c r="IT8" s="120"/>
      <c r="IU8" s="120"/>
      <c r="IV8" s="120"/>
      <c r="IW8" s="120"/>
      <c r="IX8" s="120"/>
      <c r="IY8" s="120"/>
      <c r="IZ8" s="120"/>
      <c r="JA8" s="120"/>
      <c r="JB8" s="120"/>
      <c r="JC8" s="120"/>
      <c r="JD8" s="120"/>
      <c r="JE8" s="120"/>
      <c r="JF8" s="120"/>
      <c r="JG8" s="120"/>
      <c r="JH8" s="120"/>
      <c r="JI8" s="120"/>
      <c r="JJ8" s="120"/>
      <c r="JK8" s="120"/>
      <c r="JL8" s="120"/>
      <c r="JM8" s="120"/>
    </row>
    <row r="9" spans="1:273" s="241" customFormat="1" ht="90">
      <c r="A9" s="257" t="s">
        <v>178</v>
      </c>
      <c r="B9" s="257" t="s">
        <v>179</v>
      </c>
      <c r="C9" s="250" t="s">
        <v>155</v>
      </c>
      <c r="D9" s="250" t="s">
        <v>180</v>
      </c>
      <c r="E9" s="250" t="s">
        <v>181</v>
      </c>
      <c r="F9" s="257">
        <v>1</v>
      </c>
      <c r="G9" s="257">
        <v>1</v>
      </c>
      <c r="H9" s="257">
        <v>3</v>
      </c>
      <c r="I9" s="259" t="s">
        <v>182</v>
      </c>
      <c r="J9" s="257" t="s">
        <v>183</v>
      </c>
      <c r="K9" s="257">
        <v>6</v>
      </c>
      <c r="L9" s="260">
        <v>46163</v>
      </c>
      <c r="M9" s="260">
        <v>46528</v>
      </c>
      <c r="N9" s="261">
        <v>216.52799999999999</v>
      </c>
      <c r="O9" s="262"/>
      <c r="P9" s="258" t="s">
        <v>135</v>
      </c>
      <c r="Q9" s="240"/>
      <c r="R9" s="240"/>
      <c r="S9" s="240"/>
      <c r="T9" s="240"/>
      <c r="U9" s="240"/>
      <c r="V9" s="240"/>
      <c r="W9" s="240"/>
      <c r="X9" s="240"/>
      <c r="Y9" s="240"/>
      <c r="Z9" s="240"/>
      <c r="AA9" s="240"/>
      <c r="AB9" s="240"/>
      <c r="AC9" s="240"/>
      <c r="AD9" s="240"/>
      <c r="AE9" s="240"/>
      <c r="AF9" s="240"/>
      <c r="AG9" s="240"/>
      <c r="AH9" s="240"/>
      <c r="AI9" s="240"/>
      <c r="AJ9" s="240"/>
      <c r="AK9" s="240"/>
      <c r="AL9" s="240"/>
      <c r="AM9" s="240"/>
      <c r="AN9" s="240"/>
      <c r="AO9" s="240"/>
      <c r="AP9" s="240"/>
      <c r="AQ9" s="240"/>
      <c r="AR9" s="240"/>
      <c r="AS9" s="240"/>
      <c r="AT9" s="240"/>
      <c r="AU9" s="240"/>
      <c r="AV9" s="240"/>
      <c r="AW9" s="240"/>
      <c r="AX9" s="240"/>
      <c r="AY9" s="240"/>
      <c r="AZ9" s="240"/>
      <c r="BA9" s="240"/>
      <c r="BB9" s="240"/>
      <c r="BC9" s="240"/>
      <c r="BD9" s="240"/>
      <c r="BE9" s="240"/>
      <c r="BF9" s="240"/>
      <c r="BG9" s="240"/>
      <c r="BH9" s="240"/>
      <c r="BI9" s="240"/>
      <c r="BJ9" s="240"/>
      <c r="BK9" s="240"/>
      <c r="BL9" s="240"/>
      <c r="BM9" s="240"/>
      <c r="BN9" s="240"/>
      <c r="BO9" s="240"/>
      <c r="BP9" s="240"/>
      <c r="BQ9" s="240"/>
      <c r="BR9" s="240"/>
      <c r="BS9" s="240"/>
      <c r="BT9" s="240"/>
      <c r="BU9" s="240"/>
      <c r="BV9" s="240"/>
      <c r="BW9" s="240"/>
      <c r="BX9" s="240"/>
      <c r="BY9" s="240"/>
      <c r="BZ9" s="240"/>
      <c r="CA9" s="240"/>
      <c r="CB9" s="240"/>
      <c r="CC9" s="240"/>
      <c r="CD9" s="240"/>
      <c r="CE9" s="240"/>
      <c r="CF9" s="240"/>
      <c r="CG9" s="240"/>
      <c r="CH9" s="240"/>
      <c r="CI9" s="240"/>
      <c r="CJ9" s="240"/>
      <c r="CK9" s="240"/>
      <c r="CL9" s="240"/>
      <c r="CM9" s="240"/>
      <c r="CN9" s="240"/>
      <c r="CO9" s="240"/>
      <c r="CP9" s="240"/>
      <c r="CQ9" s="240"/>
      <c r="CR9" s="240"/>
      <c r="CS9" s="240"/>
      <c r="CT9" s="240"/>
      <c r="CU9" s="240"/>
      <c r="CV9" s="240"/>
      <c r="CW9" s="240"/>
      <c r="CX9" s="240"/>
      <c r="CY9" s="240"/>
      <c r="CZ9" s="240"/>
      <c r="DA9" s="240"/>
      <c r="DB9" s="240"/>
      <c r="DC9" s="240"/>
      <c r="DD9" s="240"/>
      <c r="DE9" s="240"/>
      <c r="DF9" s="240"/>
      <c r="DG9" s="240"/>
      <c r="DH9" s="240"/>
      <c r="DI9" s="240"/>
      <c r="DJ9" s="240"/>
      <c r="DK9" s="240"/>
      <c r="DL9" s="240"/>
      <c r="DM9" s="240"/>
      <c r="DN9" s="240"/>
      <c r="DO9" s="240"/>
      <c r="DP9" s="240"/>
      <c r="DQ9" s="240"/>
      <c r="DR9" s="240"/>
      <c r="DS9" s="240"/>
      <c r="DT9" s="240"/>
      <c r="DU9" s="240"/>
      <c r="DV9" s="240"/>
      <c r="DW9" s="240"/>
      <c r="DX9" s="240"/>
      <c r="DY9" s="240"/>
      <c r="DZ9" s="240"/>
      <c r="EA9" s="240"/>
      <c r="EB9" s="240"/>
      <c r="EC9" s="240"/>
      <c r="ED9" s="240"/>
      <c r="EE9" s="240"/>
      <c r="EF9" s="240"/>
      <c r="EG9" s="240"/>
      <c r="EH9" s="240"/>
      <c r="EI9" s="240"/>
      <c r="EJ9" s="240"/>
      <c r="EK9" s="240"/>
      <c r="EL9" s="240"/>
      <c r="EM9" s="240"/>
      <c r="EN9" s="240"/>
      <c r="EO9" s="240"/>
      <c r="EP9" s="240"/>
      <c r="EQ9" s="240"/>
      <c r="ER9" s="240"/>
      <c r="ES9" s="240"/>
      <c r="ET9" s="240"/>
      <c r="EU9" s="240"/>
      <c r="EV9" s="240"/>
      <c r="EW9" s="240"/>
      <c r="EX9" s="240"/>
      <c r="EY9" s="240"/>
      <c r="EZ9" s="240"/>
      <c r="FA9" s="240"/>
      <c r="FB9" s="240"/>
      <c r="FC9" s="240"/>
      <c r="FD9" s="240"/>
      <c r="FE9" s="240"/>
      <c r="FF9" s="240"/>
      <c r="FG9" s="240"/>
      <c r="FH9" s="240"/>
      <c r="FI9" s="240"/>
      <c r="FJ9" s="240"/>
      <c r="FK9" s="240"/>
      <c r="FL9" s="240"/>
      <c r="FM9" s="240"/>
      <c r="FN9" s="240"/>
      <c r="FO9" s="240"/>
      <c r="FP9" s="240"/>
      <c r="FQ9" s="240"/>
      <c r="FR9" s="240"/>
      <c r="FS9" s="240"/>
      <c r="FT9" s="240"/>
      <c r="FU9" s="240"/>
      <c r="FV9" s="240"/>
      <c r="FW9" s="240"/>
      <c r="FX9" s="240"/>
      <c r="FY9" s="240"/>
      <c r="FZ9" s="240"/>
      <c r="GA9" s="240"/>
      <c r="GB9" s="240"/>
      <c r="GC9" s="240"/>
      <c r="GD9" s="240"/>
      <c r="GE9" s="240"/>
      <c r="GF9" s="240"/>
      <c r="GG9" s="240"/>
      <c r="GH9" s="240"/>
      <c r="GI9" s="240"/>
      <c r="GJ9" s="240"/>
      <c r="GK9" s="240"/>
      <c r="GL9" s="240"/>
      <c r="GM9" s="240"/>
      <c r="GN9" s="240"/>
      <c r="GO9" s="240"/>
      <c r="GP9" s="240"/>
      <c r="GQ9" s="240"/>
      <c r="GR9" s="240"/>
      <c r="GS9" s="240"/>
      <c r="GT9" s="240"/>
      <c r="GU9" s="240"/>
      <c r="GV9" s="240"/>
      <c r="GW9" s="240"/>
      <c r="GX9" s="240"/>
      <c r="GY9" s="240"/>
      <c r="GZ9" s="240"/>
      <c r="HA9" s="240"/>
      <c r="HB9" s="240"/>
      <c r="HC9" s="240"/>
      <c r="HD9" s="240"/>
      <c r="HE9" s="240"/>
      <c r="HF9" s="240"/>
      <c r="HG9" s="240"/>
      <c r="HH9" s="240"/>
      <c r="HI9" s="240"/>
      <c r="HJ9" s="240"/>
      <c r="HK9" s="240"/>
      <c r="HL9" s="240"/>
      <c r="HM9" s="240"/>
      <c r="HN9" s="240"/>
      <c r="HO9" s="240"/>
      <c r="HP9" s="240"/>
      <c r="HQ9" s="240"/>
      <c r="HR9" s="240"/>
      <c r="HS9" s="240"/>
      <c r="HT9" s="240"/>
      <c r="HU9" s="240"/>
      <c r="HV9" s="240"/>
      <c r="HW9" s="240"/>
      <c r="HX9" s="240"/>
      <c r="HY9" s="240"/>
      <c r="HZ9" s="240"/>
      <c r="IA9" s="240"/>
      <c r="IB9" s="240"/>
      <c r="IC9" s="240"/>
      <c r="ID9" s="240"/>
      <c r="IE9" s="240"/>
      <c r="IF9" s="240"/>
      <c r="IG9" s="240"/>
      <c r="IH9" s="240"/>
      <c r="II9" s="240"/>
      <c r="IJ9" s="240"/>
      <c r="IK9" s="240"/>
      <c r="IL9" s="240"/>
      <c r="IM9" s="240"/>
      <c r="IN9" s="240"/>
      <c r="IO9" s="240"/>
      <c r="IP9" s="240"/>
      <c r="IQ9" s="240"/>
      <c r="IR9" s="240"/>
      <c r="IS9" s="240"/>
      <c r="IT9" s="240"/>
      <c r="IU9" s="240"/>
      <c r="IV9" s="240"/>
      <c r="IW9" s="240"/>
      <c r="IX9" s="240"/>
      <c r="IY9" s="240"/>
      <c r="IZ9" s="240"/>
      <c r="JA9" s="240"/>
      <c r="JB9" s="240"/>
      <c r="JC9" s="240"/>
      <c r="JD9" s="240"/>
      <c r="JE9" s="240"/>
      <c r="JF9" s="240"/>
      <c r="JG9" s="240"/>
      <c r="JH9" s="240"/>
      <c r="JI9" s="240"/>
      <c r="JJ9" s="240"/>
      <c r="JK9" s="240"/>
      <c r="JL9" s="240"/>
      <c r="JM9" s="240"/>
    </row>
    <row r="10" spans="1:273" s="135" customFormat="1" ht="135">
      <c r="A10" s="137" t="s">
        <v>178</v>
      </c>
      <c r="B10" s="137" t="s">
        <v>184</v>
      </c>
      <c r="C10" s="137" t="s">
        <v>185</v>
      </c>
      <c r="D10" s="138" t="s">
        <v>186</v>
      </c>
      <c r="E10" s="138" t="s">
        <v>187</v>
      </c>
      <c r="F10" s="137">
        <v>1</v>
      </c>
      <c r="G10" s="137">
        <v>1</v>
      </c>
      <c r="H10" s="137">
        <v>3</v>
      </c>
      <c r="I10" s="242" t="s">
        <v>188</v>
      </c>
      <c r="J10" s="137" t="s">
        <v>189</v>
      </c>
      <c r="K10" s="137">
        <v>35</v>
      </c>
      <c r="L10" s="138" t="s">
        <v>190</v>
      </c>
      <c r="M10" s="137"/>
      <c r="N10" s="243">
        <v>500</v>
      </c>
      <c r="O10" s="137"/>
      <c r="P10" s="106" t="s">
        <v>190</v>
      </c>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row>
    <row r="11" spans="1:273" s="135" customFormat="1" ht="90">
      <c r="A11" s="137" t="s">
        <v>178</v>
      </c>
      <c r="B11" s="137" t="s">
        <v>191</v>
      </c>
      <c r="C11" s="138" t="s">
        <v>192</v>
      </c>
      <c r="D11" s="138" t="s">
        <v>193</v>
      </c>
      <c r="E11" s="138" t="s">
        <v>194</v>
      </c>
      <c r="F11" s="137">
        <v>1</v>
      </c>
      <c r="G11" s="137">
        <v>1</v>
      </c>
      <c r="H11" s="137">
        <v>3</v>
      </c>
      <c r="I11" s="139" t="s">
        <v>195</v>
      </c>
      <c r="J11" s="138" t="s">
        <v>174</v>
      </c>
      <c r="K11" s="137">
        <v>28</v>
      </c>
      <c r="L11" s="150">
        <v>46157</v>
      </c>
      <c r="M11" s="150">
        <v>46199</v>
      </c>
      <c r="N11" s="179">
        <v>1011</v>
      </c>
      <c r="O11" s="137"/>
      <c r="P11" s="103" t="s">
        <v>196</v>
      </c>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row>
    <row r="12" spans="1:273" s="241" customFormat="1" ht="60">
      <c r="A12" s="257" t="s">
        <v>178</v>
      </c>
      <c r="B12" s="250" t="s">
        <v>197</v>
      </c>
      <c r="C12" s="250"/>
      <c r="D12" s="250" t="s">
        <v>198</v>
      </c>
      <c r="E12" s="257"/>
      <c r="F12" s="257"/>
      <c r="G12" s="257"/>
      <c r="H12" s="257"/>
      <c r="I12" s="257"/>
      <c r="J12" s="257"/>
      <c r="K12" s="257"/>
      <c r="L12" s="260">
        <v>46163</v>
      </c>
      <c r="M12" s="260">
        <v>46528</v>
      </c>
      <c r="N12" s="261">
        <f>131.14*2</f>
        <v>262.27999999999997</v>
      </c>
      <c r="O12" s="250" t="s">
        <v>199</v>
      </c>
      <c r="P12" s="258" t="s">
        <v>127</v>
      </c>
      <c r="Q12" s="240"/>
      <c r="R12" s="240"/>
      <c r="S12" s="240"/>
      <c r="T12" s="240"/>
      <c r="U12" s="240"/>
      <c r="V12" s="240"/>
      <c r="W12" s="240"/>
      <c r="X12" s="240"/>
      <c r="Y12" s="240"/>
      <c r="Z12" s="240"/>
      <c r="AA12" s="240"/>
      <c r="AB12" s="240"/>
      <c r="AC12" s="240"/>
      <c r="AD12" s="240"/>
      <c r="AE12" s="240"/>
      <c r="AF12" s="240"/>
      <c r="AG12" s="240"/>
      <c r="AH12" s="240"/>
      <c r="AI12" s="240"/>
      <c r="AJ12" s="240"/>
      <c r="AK12" s="240"/>
      <c r="AL12" s="240"/>
      <c r="AM12" s="240"/>
      <c r="AN12" s="240"/>
      <c r="AO12" s="240"/>
      <c r="AP12" s="240"/>
      <c r="AQ12" s="240"/>
      <c r="AR12" s="240"/>
      <c r="AS12" s="240"/>
      <c r="AT12" s="240"/>
      <c r="AU12" s="240"/>
      <c r="AV12" s="240"/>
      <c r="AW12" s="240"/>
      <c r="AX12" s="240"/>
      <c r="AY12" s="240"/>
      <c r="AZ12" s="240"/>
      <c r="BA12" s="240"/>
      <c r="BB12" s="240"/>
      <c r="BC12" s="240"/>
      <c r="BD12" s="240"/>
      <c r="BE12" s="240"/>
      <c r="BF12" s="240"/>
      <c r="BG12" s="240"/>
      <c r="BH12" s="240"/>
      <c r="BI12" s="240"/>
      <c r="BJ12" s="240"/>
      <c r="BK12" s="240"/>
      <c r="BL12" s="240"/>
      <c r="BM12" s="240"/>
      <c r="BN12" s="240"/>
      <c r="BO12" s="240"/>
      <c r="BP12" s="240"/>
      <c r="BQ12" s="240"/>
      <c r="BR12" s="240"/>
      <c r="BS12" s="240"/>
      <c r="BT12" s="240"/>
      <c r="BU12" s="240"/>
      <c r="BV12" s="240"/>
      <c r="BW12" s="240"/>
      <c r="BX12" s="240"/>
      <c r="BY12" s="240"/>
      <c r="BZ12" s="240"/>
      <c r="CA12" s="240"/>
      <c r="CB12" s="240"/>
      <c r="CC12" s="240"/>
      <c r="CD12" s="240"/>
      <c r="CE12" s="240"/>
      <c r="CF12" s="240"/>
      <c r="CG12" s="240"/>
      <c r="CH12" s="240"/>
      <c r="CI12" s="240"/>
      <c r="CJ12" s="240"/>
      <c r="CK12" s="240"/>
      <c r="CL12" s="240"/>
      <c r="CM12" s="240"/>
      <c r="CN12" s="240"/>
      <c r="CO12" s="240"/>
      <c r="CP12" s="240"/>
      <c r="CQ12" s="240"/>
      <c r="CR12" s="240"/>
      <c r="CS12" s="240"/>
      <c r="CT12" s="240"/>
      <c r="CU12" s="240"/>
      <c r="CV12" s="240"/>
      <c r="CW12" s="240"/>
      <c r="CX12" s="240"/>
      <c r="CY12" s="240"/>
      <c r="CZ12" s="240"/>
      <c r="DA12" s="240"/>
      <c r="DB12" s="240"/>
      <c r="DC12" s="240"/>
      <c r="DD12" s="240"/>
      <c r="DE12" s="240"/>
      <c r="DF12" s="240"/>
      <c r="DG12" s="240"/>
      <c r="DH12" s="240"/>
      <c r="DI12" s="240"/>
      <c r="DJ12" s="240"/>
      <c r="DK12" s="240"/>
      <c r="DL12" s="240"/>
      <c r="DM12" s="240"/>
      <c r="DN12" s="240"/>
      <c r="DO12" s="240"/>
      <c r="DP12" s="240"/>
      <c r="DQ12" s="240"/>
      <c r="DR12" s="240"/>
      <c r="DS12" s="240"/>
      <c r="DT12" s="240"/>
      <c r="DU12" s="240"/>
      <c r="DV12" s="240"/>
      <c r="DW12" s="240"/>
      <c r="DX12" s="240"/>
      <c r="DY12" s="240"/>
      <c r="DZ12" s="240"/>
      <c r="EA12" s="240"/>
      <c r="EB12" s="240"/>
      <c r="EC12" s="240"/>
      <c r="ED12" s="240"/>
      <c r="EE12" s="240"/>
      <c r="EF12" s="240"/>
      <c r="EG12" s="240"/>
      <c r="EH12" s="240"/>
      <c r="EI12" s="240"/>
      <c r="EJ12" s="240"/>
      <c r="EK12" s="240"/>
      <c r="EL12" s="240"/>
      <c r="EM12" s="240"/>
      <c r="EN12" s="240"/>
      <c r="EO12" s="240"/>
      <c r="EP12" s="240"/>
      <c r="EQ12" s="240"/>
      <c r="ER12" s="240"/>
      <c r="ES12" s="240"/>
      <c r="ET12" s="240"/>
      <c r="EU12" s="240"/>
      <c r="EV12" s="240"/>
      <c r="EW12" s="240"/>
      <c r="EX12" s="240"/>
      <c r="EY12" s="240"/>
      <c r="EZ12" s="240"/>
      <c r="FA12" s="240"/>
      <c r="FB12" s="240"/>
      <c r="FC12" s="240"/>
      <c r="FD12" s="240"/>
      <c r="FE12" s="240"/>
      <c r="FF12" s="240"/>
      <c r="FG12" s="240"/>
      <c r="FH12" s="240"/>
      <c r="FI12" s="240"/>
      <c r="FJ12" s="240"/>
      <c r="FK12" s="240"/>
      <c r="FL12" s="240"/>
      <c r="FM12" s="240"/>
      <c r="FN12" s="240"/>
      <c r="FO12" s="240"/>
      <c r="FP12" s="240"/>
      <c r="FQ12" s="240"/>
      <c r="FR12" s="240"/>
      <c r="FS12" s="240"/>
      <c r="FT12" s="240"/>
      <c r="FU12" s="240"/>
      <c r="FV12" s="240"/>
      <c r="FW12" s="240"/>
      <c r="FX12" s="240"/>
      <c r="FY12" s="240"/>
      <c r="FZ12" s="240"/>
      <c r="GA12" s="240"/>
      <c r="GB12" s="240"/>
      <c r="GC12" s="240"/>
      <c r="GD12" s="240"/>
      <c r="GE12" s="240"/>
      <c r="GF12" s="240"/>
      <c r="GG12" s="240"/>
      <c r="GH12" s="240"/>
      <c r="GI12" s="240"/>
      <c r="GJ12" s="240"/>
      <c r="GK12" s="240"/>
      <c r="GL12" s="240"/>
      <c r="GM12" s="240"/>
      <c r="GN12" s="240"/>
      <c r="GO12" s="240"/>
      <c r="GP12" s="240"/>
      <c r="GQ12" s="240"/>
      <c r="GR12" s="240"/>
      <c r="GS12" s="240"/>
      <c r="GT12" s="240"/>
      <c r="GU12" s="240"/>
      <c r="GV12" s="240"/>
      <c r="GW12" s="240"/>
      <c r="GX12" s="240"/>
      <c r="GY12" s="240"/>
      <c r="GZ12" s="240"/>
      <c r="HA12" s="240"/>
      <c r="HB12" s="240"/>
      <c r="HC12" s="240"/>
      <c r="HD12" s="240"/>
      <c r="HE12" s="240"/>
      <c r="HF12" s="240"/>
      <c r="HG12" s="240"/>
      <c r="HH12" s="240"/>
      <c r="HI12" s="240"/>
      <c r="HJ12" s="240"/>
      <c r="HK12" s="240"/>
      <c r="HL12" s="240"/>
      <c r="HM12" s="240"/>
      <c r="HN12" s="240"/>
      <c r="HO12" s="240"/>
      <c r="HP12" s="240"/>
      <c r="HQ12" s="240"/>
      <c r="HR12" s="240"/>
      <c r="HS12" s="240"/>
      <c r="HT12" s="240"/>
      <c r="HU12" s="240"/>
      <c r="HV12" s="240"/>
      <c r="HW12" s="240"/>
      <c r="HX12" s="240"/>
      <c r="HY12" s="240"/>
      <c r="HZ12" s="240"/>
      <c r="IA12" s="240"/>
      <c r="IB12" s="240"/>
      <c r="IC12" s="240"/>
      <c r="ID12" s="240"/>
      <c r="IE12" s="240"/>
      <c r="IF12" s="240"/>
      <c r="IG12" s="240"/>
      <c r="IH12" s="240"/>
      <c r="II12" s="240"/>
      <c r="IJ12" s="240"/>
      <c r="IK12" s="240"/>
      <c r="IL12" s="240"/>
      <c r="IM12" s="240"/>
      <c r="IN12" s="240"/>
      <c r="IO12" s="240"/>
      <c r="IP12" s="240"/>
      <c r="IQ12" s="240"/>
      <c r="IR12" s="240"/>
      <c r="IS12" s="240"/>
      <c r="IT12" s="240"/>
      <c r="IU12" s="240"/>
      <c r="IV12" s="240"/>
      <c r="IW12" s="240"/>
      <c r="IX12" s="240"/>
      <c r="IY12" s="240"/>
      <c r="IZ12" s="240"/>
      <c r="JA12" s="240"/>
      <c r="JB12" s="240"/>
      <c r="JC12" s="240"/>
      <c r="JD12" s="240"/>
      <c r="JE12" s="240"/>
      <c r="JF12" s="240"/>
      <c r="JG12" s="240"/>
      <c r="JH12" s="240"/>
      <c r="JI12" s="240"/>
      <c r="JJ12" s="240"/>
      <c r="JK12" s="240"/>
      <c r="JL12" s="240"/>
      <c r="JM12" s="240"/>
    </row>
    <row r="13" spans="1:273" ht="225">
      <c r="A13" s="106" t="s">
        <v>200</v>
      </c>
      <c r="B13" s="79" t="s">
        <v>201</v>
      </c>
      <c r="C13" s="79" t="s">
        <v>155</v>
      </c>
      <c r="D13" s="79" t="s">
        <v>202</v>
      </c>
      <c r="E13" s="79" t="s">
        <v>203</v>
      </c>
      <c r="F13" s="67">
        <v>1</v>
      </c>
      <c r="G13" s="79">
        <v>1</v>
      </c>
      <c r="H13" s="79">
        <v>3</v>
      </c>
      <c r="I13" s="173" t="s">
        <v>204</v>
      </c>
      <c r="J13" s="79" t="s">
        <v>205</v>
      </c>
      <c r="K13" s="79">
        <v>30</v>
      </c>
      <c r="L13" s="81">
        <v>46318</v>
      </c>
      <c r="M13" s="81">
        <v>46357</v>
      </c>
      <c r="N13" s="180">
        <v>1200</v>
      </c>
      <c r="O13" s="98" t="s">
        <v>206</v>
      </c>
      <c r="P13" s="103" t="s">
        <v>152</v>
      </c>
      <c r="Q13" s="113"/>
    </row>
    <row r="14" spans="1:273" s="135" customFormat="1" ht="43.5" customHeight="1">
      <c r="A14" s="137" t="s">
        <v>200</v>
      </c>
      <c r="B14" s="137" t="s">
        <v>207</v>
      </c>
      <c r="C14" s="132" t="s">
        <v>208</v>
      </c>
      <c r="D14" s="138" t="s">
        <v>209</v>
      </c>
      <c r="E14" s="138" t="s">
        <v>210</v>
      </c>
      <c r="F14" s="148">
        <v>1</v>
      </c>
      <c r="G14" s="132">
        <v>1</v>
      </c>
      <c r="H14" s="132">
        <v>3</v>
      </c>
      <c r="I14" s="133" t="s">
        <v>209</v>
      </c>
      <c r="J14" s="132" t="s">
        <v>211</v>
      </c>
      <c r="K14" s="137">
        <v>44</v>
      </c>
      <c r="L14" s="149">
        <v>46290</v>
      </c>
      <c r="M14" s="137"/>
      <c r="N14" s="283">
        <v>1050</v>
      </c>
      <c r="O14" s="161" t="s">
        <v>176</v>
      </c>
      <c r="P14" s="183">
        <v>1050</v>
      </c>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row>
    <row r="15" spans="1:273" s="107" customFormat="1" ht="248.25" customHeight="1">
      <c r="A15" s="127" t="s">
        <v>212</v>
      </c>
      <c r="B15" s="128" t="s">
        <v>213</v>
      </c>
      <c r="C15" s="128" t="s">
        <v>155</v>
      </c>
      <c r="D15" s="109" t="s">
        <v>214</v>
      </c>
      <c r="E15" s="109" t="s">
        <v>215</v>
      </c>
      <c r="F15" s="107">
        <v>1</v>
      </c>
      <c r="G15" s="109">
        <v>1</v>
      </c>
      <c r="H15" s="109">
        <v>3</v>
      </c>
      <c r="I15" s="129" t="s">
        <v>216</v>
      </c>
      <c r="J15" s="107" t="s">
        <v>217</v>
      </c>
      <c r="K15" s="107">
        <v>20</v>
      </c>
      <c r="L15" s="130">
        <v>46148</v>
      </c>
      <c r="M15" s="130" t="s">
        <v>218</v>
      </c>
      <c r="N15" s="179">
        <v>1870</v>
      </c>
      <c r="P15" s="199" t="s">
        <v>219</v>
      </c>
      <c r="Q15" s="163"/>
      <c r="R15" s="101"/>
      <c r="S15" s="164"/>
      <c r="T15" s="164"/>
      <c r="U15" s="165"/>
      <c r="V15" s="24"/>
      <c r="W15" s="24"/>
      <c r="X15" s="24"/>
      <c r="Y15" s="24"/>
      <c r="Z15" s="24"/>
      <c r="AA15" s="24"/>
      <c r="AB15" s="24"/>
      <c r="AC15" s="166"/>
      <c r="AD15" s="24"/>
      <c r="AE15" s="24"/>
      <c r="AF15" s="24"/>
      <c r="AG15" s="24"/>
      <c r="AH15" s="24"/>
      <c r="AI15" s="24"/>
      <c r="AJ15" s="24"/>
      <c r="AK15" s="24"/>
      <c r="AL15" s="24"/>
      <c r="AM15" s="24"/>
      <c r="AN15" s="24"/>
      <c r="AO15" s="24"/>
      <c r="AP15" s="24"/>
      <c r="AQ15" s="24"/>
      <c r="AR15" s="24"/>
      <c r="AS15" s="101"/>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c r="EA15" s="24"/>
      <c r="EB15" s="24"/>
      <c r="EC15" s="24"/>
      <c r="ED15" s="24"/>
      <c r="EE15" s="24"/>
      <c r="EF15" s="24"/>
      <c r="EG15" s="24"/>
      <c r="EH15" s="24"/>
      <c r="EI15" s="24"/>
      <c r="EJ15" s="24"/>
      <c r="EK15" s="24"/>
      <c r="EL15" s="24"/>
      <c r="EM15" s="24"/>
      <c r="EN15" s="24"/>
      <c r="EO15" s="24"/>
      <c r="EP15" s="24"/>
      <c r="EQ15" s="24"/>
      <c r="ER15" s="24"/>
      <c r="ES15" s="24"/>
      <c r="ET15" s="24"/>
      <c r="EU15" s="24"/>
      <c r="EV15" s="24"/>
      <c r="EW15" s="24"/>
      <c r="EX15" s="24"/>
      <c r="EY15" s="24"/>
      <c r="EZ15" s="24"/>
      <c r="FA15" s="24"/>
      <c r="FB15" s="24"/>
      <c r="FC15" s="24"/>
      <c r="FD15" s="24"/>
      <c r="FE15" s="24"/>
      <c r="FF15" s="24"/>
      <c r="FG15" s="24"/>
      <c r="FH15" s="24"/>
      <c r="FI15" s="24"/>
      <c r="FJ15" s="24"/>
      <c r="FK15" s="24"/>
      <c r="FL15" s="24"/>
      <c r="FM15" s="24"/>
      <c r="FN15" s="24"/>
      <c r="FO15" s="24"/>
      <c r="FP15" s="24"/>
      <c r="FQ15" s="24"/>
      <c r="FR15" s="24"/>
      <c r="FS15" s="24"/>
      <c r="FT15" s="24"/>
      <c r="FU15" s="24"/>
      <c r="FV15" s="24"/>
      <c r="FW15" s="24"/>
      <c r="FX15" s="24"/>
      <c r="FY15" s="24"/>
      <c r="FZ15" s="24"/>
      <c r="GA15" s="24"/>
      <c r="GB15" s="24"/>
      <c r="GC15" s="24"/>
      <c r="GD15" s="24"/>
      <c r="GE15" s="24"/>
      <c r="GF15" s="24"/>
      <c r="GG15" s="24"/>
      <c r="GH15" s="24"/>
      <c r="GI15" s="24"/>
      <c r="GJ15" s="24"/>
      <c r="GK15" s="24"/>
      <c r="GL15" s="24"/>
      <c r="GM15" s="24"/>
      <c r="GN15" s="24"/>
      <c r="GO15" s="24"/>
      <c r="GP15" s="24"/>
      <c r="GQ15" s="24"/>
      <c r="GR15" s="24"/>
      <c r="GS15" s="24"/>
      <c r="GT15" s="24"/>
      <c r="GU15" s="24"/>
      <c r="GV15" s="24"/>
      <c r="GW15" s="24"/>
      <c r="GX15" s="24"/>
      <c r="GY15" s="24"/>
      <c r="GZ15" s="24"/>
      <c r="HA15" s="24"/>
      <c r="HB15" s="24"/>
      <c r="HC15" s="24"/>
      <c r="HD15" s="24"/>
      <c r="HE15" s="24"/>
      <c r="HF15" s="24"/>
      <c r="HG15" s="24"/>
      <c r="HH15" s="24"/>
      <c r="HI15" s="24"/>
      <c r="HJ15" s="24"/>
      <c r="HK15" s="24"/>
      <c r="HL15" s="24"/>
      <c r="HM15" s="24"/>
      <c r="HN15" s="24"/>
      <c r="HO15" s="24"/>
      <c r="HP15" s="24"/>
      <c r="HQ15" s="24"/>
      <c r="HR15" s="24"/>
      <c r="HS15" s="24"/>
      <c r="HT15" s="24"/>
      <c r="HU15" s="24"/>
      <c r="HV15" s="24"/>
      <c r="HW15" s="24"/>
      <c r="HX15" s="24"/>
      <c r="HY15" s="24"/>
      <c r="HZ15" s="24"/>
      <c r="IA15" s="24"/>
      <c r="IB15" s="24"/>
      <c r="IC15" s="24"/>
      <c r="ID15" s="24"/>
      <c r="IE15" s="24"/>
      <c r="IF15" s="24"/>
      <c r="IG15" s="24"/>
      <c r="IH15" s="24"/>
      <c r="II15" s="24"/>
      <c r="IJ15" s="24"/>
      <c r="IK15" s="24"/>
      <c r="IL15" s="24"/>
      <c r="IM15" s="24"/>
      <c r="IN15" s="24"/>
      <c r="IO15" s="24"/>
      <c r="IP15" s="24"/>
      <c r="IQ15" s="24"/>
      <c r="IR15" s="24"/>
      <c r="IS15" s="24"/>
      <c r="IT15" s="24"/>
      <c r="IU15" s="24"/>
      <c r="IV15" s="24"/>
      <c r="IW15" s="24"/>
      <c r="IX15" s="24"/>
      <c r="IY15" s="24"/>
      <c r="IZ15" s="24"/>
      <c r="JA15" s="24"/>
      <c r="JB15" s="24"/>
      <c r="JC15" s="24"/>
      <c r="JD15" s="24"/>
      <c r="JE15" s="24"/>
      <c r="JF15" s="24"/>
      <c r="JG15" s="24"/>
      <c r="JH15" s="24"/>
      <c r="JI15" s="24"/>
      <c r="JJ15" s="24"/>
      <c r="JK15" s="24"/>
      <c r="JL15" s="24"/>
      <c r="JM15" s="24"/>
    </row>
    <row r="16" spans="1:273" s="135" customFormat="1" ht="91.5" customHeight="1">
      <c r="A16" s="132" t="s">
        <v>220</v>
      </c>
      <c r="B16" s="132" t="s">
        <v>22</v>
      </c>
      <c r="C16" s="132" t="s">
        <v>121</v>
      </c>
      <c r="D16" s="132" t="s">
        <v>221</v>
      </c>
      <c r="E16" s="132" t="s">
        <v>222</v>
      </c>
      <c r="F16" s="132">
        <v>1</v>
      </c>
      <c r="G16" s="132">
        <v>3</v>
      </c>
      <c r="H16" s="132">
        <v>3</v>
      </c>
      <c r="I16" s="133" t="s">
        <v>223</v>
      </c>
      <c r="J16" s="132" t="s">
        <v>224</v>
      </c>
      <c r="K16" s="132">
        <v>30</v>
      </c>
      <c r="L16" s="211">
        <v>46209</v>
      </c>
      <c r="M16" s="211">
        <v>46212</v>
      </c>
      <c r="N16" s="272">
        <v>2035</v>
      </c>
      <c r="O16" s="136" t="s">
        <v>225</v>
      </c>
      <c r="P16" s="237" t="s">
        <v>226</v>
      </c>
      <c r="Q16"/>
      <c r="R16"/>
      <c r="S16" s="106"/>
      <c r="T16" s="106"/>
      <c r="U16" s="106"/>
      <c r="V16" s="106"/>
      <c r="W16" s="106"/>
      <c r="X16" s="106"/>
      <c r="Y16" s="106"/>
      <c r="Z16" s="106"/>
      <c r="AA16" s="106"/>
      <c r="AB16" s="106"/>
      <c r="AC16" s="106"/>
      <c r="AD16" s="106"/>
      <c r="AE16"/>
      <c r="AF16"/>
      <c r="AG16"/>
      <c r="AH16"/>
      <c r="AI16"/>
      <c r="AJ16"/>
      <c r="AK16"/>
      <c r="AL16"/>
      <c r="AM16"/>
      <c r="AN16"/>
      <c r="AO16"/>
      <c r="AP16"/>
      <c r="AQ16"/>
      <c r="AR16"/>
      <c r="AS16" s="100"/>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row>
    <row r="17" spans="1:273" s="108" customFormat="1" ht="132.75" customHeight="1">
      <c r="A17" s="131" t="s">
        <v>220</v>
      </c>
      <c r="B17" s="140" t="s">
        <v>32</v>
      </c>
      <c r="C17" s="131" t="s">
        <v>121</v>
      </c>
      <c r="D17" s="131"/>
      <c r="E17" s="131" t="s">
        <v>222</v>
      </c>
      <c r="F17" s="131">
        <v>1</v>
      </c>
      <c r="G17" s="131">
        <v>1</v>
      </c>
      <c r="H17" s="131">
        <v>2</v>
      </c>
      <c r="I17" s="141" t="s">
        <v>223</v>
      </c>
      <c r="J17" s="131" t="s">
        <v>224</v>
      </c>
      <c r="K17" s="131" t="s">
        <v>30</v>
      </c>
      <c r="L17" s="131" t="s">
        <v>36</v>
      </c>
      <c r="M17" s="131" t="s">
        <v>30</v>
      </c>
      <c r="N17" s="182">
        <v>1590</v>
      </c>
      <c r="O17" s="142"/>
      <c r="P17" s="316" t="s">
        <v>227</v>
      </c>
      <c r="Q17" s="110"/>
      <c r="S17" s="110"/>
      <c r="T17" s="110"/>
      <c r="U17" s="110"/>
      <c r="V17" s="110"/>
      <c r="W17" s="110"/>
      <c r="X17" s="110"/>
      <c r="Y17" s="110"/>
      <c r="Z17" s="110"/>
      <c r="AA17" s="110"/>
      <c r="AB17" s="110"/>
      <c r="AC17" s="110"/>
      <c r="AD17" s="110"/>
      <c r="AS17" s="167"/>
    </row>
    <row r="18" spans="1:273" s="108" customFormat="1" ht="132.75" customHeight="1">
      <c r="A18" s="131"/>
      <c r="B18" s="131"/>
      <c r="C18" s="131"/>
      <c r="D18" s="131" t="s">
        <v>228</v>
      </c>
      <c r="E18" s="131"/>
      <c r="F18" s="131"/>
      <c r="G18" s="131"/>
      <c r="H18" s="131"/>
      <c r="I18" s="141" t="s">
        <v>229</v>
      </c>
      <c r="J18" s="131" t="s">
        <v>230</v>
      </c>
      <c r="K18" s="131" t="s">
        <v>30</v>
      </c>
      <c r="L18" s="143"/>
      <c r="M18" s="131"/>
      <c r="N18" s="182">
        <v>382</v>
      </c>
      <c r="O18" s="144" t="s">
        <v>231</v>
      </c>
      <c r="P18" s="316"/>
      <c r="Q18" s="110"/>
      <c r="S18" s="110"/>
      <c r="T18" s="110"/>
      <c r="U18" s="110"/>
      <c r="V18" s="110"/>
      <c r="W18" s="110"/>
      <c r="X18" s="110"/>
      <c r="Y18" s="110"/>
      <c r="Z18" s="110"/>
      <c r="AA18" s="110"/>
      <c r="AB18" s="110"/>
      <c r="AC18" s="110"/>
      <c r="AD18" s="110"/>
      <c r="AS18" s="167"/>
    </row>
    <row r="19" spans="1:273" s="135" customFormat="1" ht="132.75" customHeight="1">
      <c r="A19" s="132" t="s">
        <v>220</v>
      </c>
      <c r="B19" s="132" t="s">
        <v>37</v>
      </c>
      <c r="C19" s="132" t="s">
        <v>44</v>
      </c>
      <c r="D19" s="132" t="s">
        <v>232</v>
      </c>
      <c r="E19" s="132" t="s">
        <v>233</v>
      </c>
      <c r="F19" s="132">
        <v>1</v>
      </c>
      <c r="G19" s="132">
        <v>1</v>
      </c>
      <c r="H19" s="132">
        <v>2</v>
      </c>
      <c r="I19" s="133" t="s">
        <v>47</v>
      </c>
      <c r="J19" s="132" t="s">
        <v>230</v>
      </c>
      <c r="K19" s="132"/>
      <c r="L19" s="132" t="s">
        <v>30</v>
      </c>
      <c r="M19" s="132" t="s">
        <v>30</v>
      </c>
      <c r="N19" s="178">
        <v>540</v>
      </c>
      <c r="O19" s="132" t="s">
        <v>234</v>
      </c>
      <c r="P19" s="317" t="s">
        <v>235</v>
      </c>
      <c r="Q19" s="106"/>
      <c r="R19"/>
      <c r="S19" s="106"/>
      <c r="T19" s="106"/>
      <c r="U19" s="106"/>
      <c r="V19" s="106"/>
      <c r="W19" s="106"/>
      <c r="X19" s="106"/>
      <c r="Y19" s="106"/>
      <c r="Z19" s="106"/>
      <c r="AA19" s="106"/>
      <c r="AB19" s="106"/>
      <c r="AC19" s="106"/>
      <c r="AD19" s="106"/>
      <c r="AE19"/>
      <c r="AF19"/>
      <c r="AG19"/>
      <c r="AH19"/>
      <c r="AI19"/>
      <c r="AJ19"/>
      <c r="AK19"/>
      <c r="AL19"/>
      <c r="AM19"/>
      <c r="AN19"/>
      <c r="AO19"/>
      <c r="AP19"/>
      <c r="AQ19"/>
      <c r="AR19"/>
      <c r="AS19" s="100"/>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row>
    <row r="20" spans="1:273" s="135" customFormat="1" ht="132.75" customHeight="1">
      <c r="A20" s="132"/>
      <c r="B20" s="132"/>
      <c r="C20" s="132"/>
      <c r="D20" s="132" t="s">
        <v>228</v>
      </c>
      <c r="E20" s="132"/>
      <c r="F20" s="132"/>
      <c r="G20" s="132"/>
      <c r="H20" s="132"/>
      <c r="I20" s="133" t="s">
        <v>236</v>
      </c>
      <c r="J20" s="132" t="s">
        <v>237</v>
      </c>
      <c r="K20" s="132"/>
      <c r="L20" s="132"/>
      <c r="M20" s="132"/>
      <c r="N20" s="181">
        <v>382</v>
      </c>
      <c r="O20" s="132" t="s">
        <v>238</v>
      </c>
      <c r="P20" s="317"/>
      <c r="Q20" s="106"/>
      <c r="R20"/>
      <c r="S20" s="106"/>
      <c r="T20" s="106"/>
      <c r="U20" s="106"/>
      <c r="V20" s="106"/>
      <c r="W20" s="106"/>
      <c r="X20" s="106"/>
      <c r="Y20" s="106"/>
      <c r="Z20" s="106"/>
      <c r="AA20" s="106"/>
      <c r="AB20" s="106"/>
      <c r="AC20" s="106"/>
      <c r="AD20" s="106"/>
      <c r="AE20"/>
      <c r="AF20"/>
      <c r="AG20"/>
      <c r="AH20"/>
      <c r="AI20"/>
      <c r="AJ20"/>
      <c r="AK20"/>
      <c r="AL20"/>
      <c r="AM20"/>
      <c r="AN20"/>
      <c r="AO20"/>
      <c r="AP20"/>
      <c r="AQ20"/>
      <c r="AR20"/>
      <c r="AS20" s="10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row>
    <row r="21" spans="1:273" s="135" customFormat="1" ht="256.5" customHeight="1">
      <c r="A21" s="132" t="s">
        <v>220</v>
      </c>
      <c r="B21" s="132" t="s">
        <v>52</v>
      </c>
      <c r="C21" s="132" t="s">
        <v>44</v>
      </c>
      <c r="D21" s="132" t="s">
        <v>232</v>
      </c>
      <c r="E21" s="132" t="s">
        <v>233</v>
      </c>
      <c r="F21" s="132">
        <v>1</v>
      </c>
      <c r="G21" s="132">
        <v>1</v>
      </c>
      <c r="H21" s="132">
        <v>2</v>
      </c>
      <c r="I21" s="133" t="s">
        <v>47</v>
      </c>
      <c r="J21" s="132" t="s">
        <v>237</v>
      </c>
      <c r="K21" s="132"/>
      <c r="L21" s="132" t="s">
        <v>30</v>
      </c>
      <c r="M21" s="132" t="s">
        <v>30</v>
      </c>
      <c r="N21" s="178">
        <v>540</v>
      </c>
      <c r="O21" s="132" t="s">
        <v>234</v>
      </c>
      <c r="P21" s="317" t="s">
        <v>235</v>
      </c>
      <c r="Q21" s="106"/>
      <c r="R21"/>
      <c r="S21" s="106"/>
      <c r="T21" s="106"/>
      <c r="U21" s="106"/>
      <c r="V21" s="106"/>
      <c r="W21" s="106"/>
      <c r="X21" s="106"/>
      <c r="Y21" s="106"/>
      <c r="Z21" s="106"/>
      <c r="AA21" s="106"/>
      <c r="AB21" s="106"/>
      <c r="AC21" s="106"/>
      <c r="AD21" s="106"/>
      <c r="AE21"/>
      <c r="AF21"/>
      <c r="AG21"/>
      <c r="AH21"/>
      <c r="AI21"/>
      <c r="AJ21"/>
      <c r="AK21"/>
      <c r="AL21"/>
      <c r="AM21"/>
      <c r="AN21"/>
      <c r="AO21"/>
      <c r="AP21"/>
      <c r="AQ21"/>
      <c r="AR21"/>
      <c r="AS21" s="100"/>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row>
    <row r="22" spans="1:273" s="135" customFormat="1" ht="133.5" customHeight="1">
      <c r="A22" s="132"/>
      <c r="B22" s="132"/>
      <c r="C22" s="132"/>
      <c r="D22" s="132" t="s">
        <v>228</v>
      </c>
      <c r="E22" s="132"/>
      <c r="F22" s="132"/>
      <c r="G22" s="132"/>
      <c r="H22" s="132"/>
      <c r="I22" s="133" t="s">
        <v>236</v>
      </c>
      <c r="J22" s="132" t="s">
        <v>237</v>
      </c>
      <c r="K22" s="132"/>
      <c r="L22" s="132"/>
      <c r="M22" s="132"/>
      <c r="N22" s="181">
        <v>382</v>
      </c>
      <c r="O22" s="132" t="s">
        <v>238</v>
      </c>
      <c r="P22" s="317"/>
      <c r="Q22" s="106"/>
      <c r="R22"/>
      <c r="S22" s="106"/>
      <c r="T22" s="106"/>
      <c r="U22" s="106"/>
      <c r="V22" s="106"/>
      <c r="W22" s="106"/>
      <c r="X22" s="106"/>
      <c r="Y22" s="106"/>
      <c r="Z22" s="106"/>
      <c r="AA22" s="106"/>
      <c r="AB22" s="106"/>
      <c r="AC22" s="106"/>
      <c r="AD22" s="106"/>
      <c r="AE22"/>
      <c r="AF22"/>
      <c r="AG22"/>
      <c r="AH22"/>
      <c r="AI22"/>
      <c r="AJ22"/>
      <c r="AK22"/>
      <c r="AL22"/>
      <c r="AM22"/>
      <c r="AN22"/>
      <c r="AO22"/>
      <c r="AP22"/>
      <c r="AQ22"/>
      <c r="AR22"/>
      <c r="AS22" s="100"/>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row>
    <row r="23" spans="1:273" s="147" customFormat="1" ht="129" customHeight="1">
      <c r="A23" s="145" t="s">
        <v>220</v>
      </c>
      <c r="B23" s="145" t="s">
        <v>239</v>
      </c>
      <c r="C23" s="145" t="s">
        <v>59</v>
      </c>
      <c r="D23" s="145" t="s">
        <v>240</v>
      </c>
      <c r="E23" s="145" t="s">
        <v>241</v>
      </c>
      <c r="F23" s="145">
        <v>1</v>
      </c>
      <c r="G23" s="145">
        <v>0</v>
      </c>
      <c r="H23" s="145">
        <v>1</v>
      </c>
      <c r="I23" s="146" t="s">
        <v>61</v>
      </c>
      <c r="J23" s="145" t="s">
        <v>62</v>
      </c>
      <c r="K23" s="145">
        <v>60</v>
      </c>
      <c r="L23" s="145" t="s">
        <v>36</v>
      </c>
      <c r="M23" s="145" t="s">
        <v>30</v>
      </c>
      <c r="N23" s="178">
        <v>600</v>
      </c>
      <c r="O23" s="145"/>
      <c r="P23" s="162" t="s">
        <v>235</v>
      </c>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101"/>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c r="HC23" s="24"/>
      <c r="HD23" s="24"/>
      <c r="HE23" s="24"/>
      <c r="HF23" s="24"/>
      <c r="HG23" s="24"/>
      <c r="HH23" s="24"/>
      <c r="HI23" s="24"/>
      <c r="HJ23" s="24"/>
      <c r="HK23" s="24"/>
      <c r="HL23" s="24"/>
      <c r="HM23" s="24"/>
      <c r="HN23" s="24"/>
      <c r="HO23" s="24"/>
      <c r="HP23" s="24"/>
      <c r="HQ23" s="24"/>
      <c r="HR23" s="24"/>
      <c r="HS23" s="24"/>
      <c r="HT23" s="24"/>
      <c r="HU23" s="24"/>
      <c r="HV23" s="24"/>
      <c r="HW23" s="24"/>
      <c r="HX23" s="24"/>
      <c r="HY23" s="24"/>
      <c r="HZ23" s="24"/>
      <c r="IA23" s="24"/>
      <c r="IB23" s="24"/>
      <c r="IC23" s="24"/>
      <c r="ID23" s="24"/>
      <c r="IE23" s="24"/>
      <c r="IF23" s="24"/>
      <c r="IG23" s="24"/>
      <c r="IH23" s="24"/>
      <c r="II23" s="24"/>
      <c r="IJ23" s="24"/>
      <c r="IK23" s="24"/>
      <c r="IL23" s="24"/>
      <c r="IM23" s="24"/>
      <c r="IN23" s="24"/>
      <c r="IO23" s="24"/>
      <c r="IP23" s="24"/>
      <c r="IQ23" s="24"/>
      <c r="IR23" s="24"/>
      <c r="IS23" s="24"/>
      <c r="IT23" s="24"/>
      <c r="IU23" s="24"/>
      <c r="IV23" s="24"/>
      <c r="IW23" s="24"/>
      <c r="IX23" s="24"/>
      <c r="IY23" s="24"/>
      <c r="IZ23" s="24"/>
      <c r="JA23" s="24"/>
      <c r="JB23" s="24"/>
      <c r="JC23" s="24"/>
      <c r="JD23" s="24"/>
      <c r="JE23" s="24"/>
      <c r="JF23" s="24"/>
      <c r="JG23" s="24"/>
      <c r="JH23" s="24"/>
      <c r="JI23" s="24"/>
      <c r="JJ23" s="24"/>
      <c r="JK23" s="24"/>
      <c r="JL23" s="24"/>
      <c r="JM23" s="24"/>
    </row>
    <row r="24" spans="1:273" ht="45">
      <c r="A24" s="254" t="s">
        <v>71</v>
      </c>
      <c r="B24" s="254" t="s">
        <v>85</v>
      </c>
      <c r="C24" s="254" t="s">
        <v>73</v>
      </c>
      <c r="D24" s="254" t="s">
        <v>87</v>
      </c>
      <c r="E24" s="254" t="s">
        <v>242</v>
      </c>
      <c r="F24" s="254" t="s">
        <v>30</v>
      </c>
      <c r="G24" s="254">
        <v>2</v>
      </c>
      <c r="H24" s="254">
        <v>3</v>
      </c>
      <c r="I24" s="263" t="s">
        <v>228</v>
      </c>
      <c r="J24" s="254" t="s">
        <v>243</v>
      </c>
      <c r="K24" s="254" t="s">
        <v>30</v>
      </c>
      <c r="L24" s="264">
        <v>46141</v>
      </c>
      <c r="M24" s="254" t="s">
        <v>30</v>
      </c>
      <c r="N24" s="265">
        <v>855</v>
      </c>
      <c r="O24" s="254"/>
      <c r="P24" s="258" t="s">
        <v>127</v>
      </c>
      <c r="Q24" s="24"/>
      <c r="S24" s="24"/>
      <c r="T24" s="24"/>
      <c r="U24" s="24"/>
      <c r="V24" s="24"/>
      <c r="W24" s="24"/>
      <c r="X24" s="24"/>
      <c r="Y24" s="24"/>
      <c r="Z24" s="24"/>
      <c r="AA24" s="24"/>
      <c r="AB24" s="24"/>
      <c r="AC24" s="24"/>
      <c r="AD24" s="24"/>
      <c r="AS24" s="100"/>
    </row>
    <row r="25" spans="1:273" s="240" customFormat="1" ht="60">
      <c r="A25" s="254"/>
      <c r="B25" s="254" t="s">
        <v>244</v>
      </c>
      <c r="C25" s="254" t="s">
        <v>245</v>
      </c>
      <c r="D25" s="254" t="s">
        <v>245</v>
      </c>
      <c r="E25" s="254" t="s">
        <v>246</v>
      </c>
      <c r="F25" s="254"/>
      <c r="G25" s="254"/>
      <c r="H25" s="254"/>
      <c r="I25" s="266" t="s">
        <v>247</v>
      </c>
      <c r="J25" s="267" t="s">
        <v>248</v>
      </c>
      <c r="K25" s="254">
        <v>4</v>
      </c>
      <c r="L25" s="254"/>
      <c r="M25" s="268">
        <v>46207</v>
      </c>
      <c r="N25" s="265">
        <v>90.16</v>
      </c>
      <c r="O25" s="254"/>
      <c r="P25" s="258" t="s">
        <v>249</v>
      </c>
      <c r="Q25" s="244"/>
      <c r="S25" s="244"/>
      <c r="T25" s="244"/>
      <c r="U25" s="244"/>
      <c r="V25" s="244"/>
      <c r="W25" s="244"/>
      <c r="X25" s="244"/>
      <c r="Y25" s="244"/>
      <c r="Z25" s="244"/>
      <c r="AA25" s="244"/>
      <c r="AB25" s="244"/>
      <c r="AC25" s="244"/>
      <c r="AD25" s="244"/>
    </row>
    <row r="26" spans="1:273" s="240" customFormat="1" ht="60">
      <c r="A26" s="254"/>
      <c r="B26" s="254" t="s">
        <v>250</v>
      </c>
      <c r="C26" s="254" t="s">
        <v>245</v>
      </c>
      <c r="D26" s="254" t="s">
        <v>245</v>
      </c>
      <c r="E26" s="254" t="s">
        <v>246</v>
      </c>
      <c r="F26" s="254"/>
      <c r="G26" s="254"/>
      <c r="H26" s="254"/>
      <c r="I26" s="266" t="s">
        <v>247</v>
      </c>
      <c r="J26" s="267" t="s">
        <v>248</v>
      </c>
      <c r="K26" s="254">
        <v>4</v>
      </c>
      <c r="L26" s="254" t="s">
        <v>251</v>
      </c>
      <c r="M26" s="254"/>
      <c r="N26" s="265">
        <v>90.16</v>
      </c>
      <c r="O26" s="254"/>
      <c r="P26" s="258" t="s">
        <v>127</v>
      </c>
      <c r="Q26" s="244"/>
      <c r="S26" s="244"/>
      <c r="T26" s="244"/>
      <c r="U26" s="244"/>
      <c r="V26" s="244"/>
      <c r="W26" s="244"/>
      <c r="X26" s="244"/>
      <c r="Y26" s="244"/>
      <c r="Z26" s="244"/>
      <c r="AA26" s="244"/>
      <c r="AB26" s="244"/>
      <c r="AC26" s="244"/>
      <c r="AD26" s="244"/>
    </row>
    <row r="27" spans="1:273" ht="60" hidden="1">
      <c r="A27" s="79"/>
      <c r="B27" s="43" t="s">
        <v>252</v>
      </c>
      <c r="C27" s="43" t="s">
        <v>253</v>
      </c>
      <c r="D27" s="79"/>
      <c r="E27" s="79"/>
      <c r="F27" s="79"/>
      <c r="G27" s="79"/>
      <c r="H27" s="79"/>
      <c r="I27" s="173"/>
      <c r="J27"/>
      <c r="K27" s="79">
        <f>AVERAGE(K2:K26)</f>
        <v>30.882352941176471</v>
      </c>
      <c r="L27" s="79"/>
      <c r="M27" s="79"/>
      <c r="N27" s="184"/>
      <c r="O27" s="79"/>
      <c r="P27" s="162" t="s">
        <v>254</v>
      </c>
      <c r="Q27" s="24"/>
      <c r="S27" s="24"/>
      <c r="T27" s="24"/>
      <c r="U27" s="24"/>
      <c r="V27" s="24"/>
      <c r="W27" s="24"/>
      <c r="X27" s="24"/>
      <c r="Y27" s="24"/>
      <c r="Z27" s="24"/>
      <c r="AA27" s="24"/>
      <c r="AB27" s="24"/>
      <c r="AC27" s="24"/>
      <c r="AD27" s="24"/>
    </row>
    <row r="28" spans="1:273" ht="90" hidden="1">
      <c r="A28" s="79"/>
      <c r="B28" s="43" t="s">
        <v>255</v>
      </c>
      <c r="C28" s="43" t="s">
        <v>256</v>
      </c>
      <c r="D28" s="79" t="s">
        <v>257</v>
      </c>
      <c r="E28" s="79" t="s">
        <v>258</v>
      </c>
      <c r="F28" s="79"/>
      <c r="G28" s="79"/>
      <c r="H28" s="79"/>
      <c r="I28" s="173" t="s">
        <v>259</v>
      </c>
      <c r="J28" s="79" t="s">
        <v>258</v>
      </c>
      <c r="K28" s="79">
        <v>28</v>
      </c>
      <c r="L28" s="88">
        <v>46199</v>
      </c>
      <c r="M28" s="88">
        <v>46360</v>
      </c>
      <c r="N28" s="183">
        <f>1400*2</f>
        <v>2800</v>
      </c>
      <c r="O28" s="79" t="s">
        <v>260</v>
      </c>
      <c r="Q28" s="24"/>
      <c r="S28" s="24"/>
      <c r="T28" s="24"/>
      <c r="U28" s="24"/>
      <c r="V28" s="24"/>
      <c r="W28" s="24"/>
      <c r="X28" s="24"/>
      <c r="Y28" s="24"/>
      <c r="Z28" s="24"/>
      <c r="AA28" s="24"/>
      <c r="AB28" s="24"/>
      <c r="AC28" s="24"/>
      <c r="AD28" s="24"/>
    </row>
    <row r="29" spans="1:273" hidden="1">
      <c r="B29" s="43"/>
      <c r="C29" s="43"/>
      <c r="J29" s="231"/>
      <c r="N29" s="185">
        <f>SUM(N2:N28)</f>
        <v>22325.847999999998</v>
      </c>
    </row>
    <row r="30" spans="1:273" hidden="1">
      <c r="A30" s="122" t="s">
        <v>261</v>
      </c>
    </row>
    <row r="31" spans="1:273" ht="135" hidden="1">
      <c r="A31" s="121" t="s">
        <v>262</v>
      </c>
    </row>
    <row r="32" spans="1:273" ht="30" hidden="1">
      <c r="A32" s="121" t="s">
        <v>263</v>
      </c>
    </row>
    <row r="33" spans="1:1" ht="30" hidden="1">
      <c r="A33" s="174" t="s">
        <v>264</v>
      </c>
    </row>
    <row r="34" spans="1:1" hidden="1">
      <c r="A34" s="121" t="s">
        <v>265</v>
      </c>
    </row>
    <row r="35" spans="1:1" hidden="1">
      <c r="A35" s="230" t="s">
        <v>266</v>
      </c>
    </row>
    <row r="36" spans="1:1" hidden="1">
      <c r="A36" s="187" t="s">
        <v>213</v>
      </c>
    </row>
    <row r="37" spans="1:1" hidden="1">
      <c r="A37" s="187" t="s">
        <v>267</v>
      </c>
    </row>
  </sheetData>
  <autoFilter ref="A1:JM37" xr:uid="{4FE8DC5A-5B98-42C6-89EE-B96614B90192}">
    <filterColumn colId="15">
      <colorFilter dxfId="0" cellColor="0"/>
    </filterColumn>
  </autoFilter>
  <mergeCells count="3">
    <mergeCell ref="P17:P18"/>
    <mergeCell ref="P19:P20"/>
    <mergeCell ref="P21:P22"/>
  </mergeCells>
  <dataValidations count="3">
    <dataValidation type="list" allowBlank="1" showInputMessage="1" showErrorMessage="1" sqref="G2:H3 G6:H7" xr:uid="{09214B07-F66F-4BE0-B450-0A79CCA9A569}">
      <formula1>"0,1,2,3"</formula1>
    </dataValidation>
    <dataValidation type="list" allowBlank="1" showErrorMessage="1" sqref="S15:T15 G15:H15" xr:uid="{5FD6B2AE-DFAA-44E9-8698-B94960354269}">
      <formula1>"0,1,2,3"</formula1>
    </dataValidation>
    <dataValidation type="list" allowBlank="1" showInputMessage="1" showErrorMessage="1" sqref="V15" xr:uid="{18D71134-5940-428A-9D6B-E836E6596233}">
      <formula1>"interno,esterno"</formula1>
    </dataValidation>
  </dataValidations>
  <hyperlinks>
    <hyperlink ref="I2" r:id="rId1" xr:uid="{9B684434-CDBF-4F0B-BF26-085EDCF3CBF2}"/>
    <hyperlink ref="I3" r:id="rId2" xr:uid="{E563D939-2897-4108-9AB6-5BE9A147141A}"/>
    <hyperlink ref="I4" r:id="rId3" xr:uid="{0A0C3219-0987-43ED-9142-0CEEC13BB4A1}"/>
    <hyperlink ref="I5" r:id="rId4" xr:uid="{2D654439-1259-4043-A94C-EC6841BB5307}"/>
    <hyperlink ref="I6" r:id="rId5" location="panoramica" xr:uid="{3DEFED1E-198C-4970-AD9D-36CEAB376267}"/>
    <hyperlink ref="I7" r:id="rId6" xr:uid="{5D72234C-4544-46FF-ACE6-9FFA132A81BA}"/>
    <hyperlink ref="I10" r:id="rId7" xr:uid="{173D5B90-CF08-4784-B8AB-DA9841743DC3}"/>
    <hyperlink ref="I11" r:id="rId8" xr:uid="{C1A3A0B3-D5B3-4AEF-BBA1-6B43149C1B66}"/>
    <hyperlink ref="I14" r:id="rId9" xr:uid="{19A6C04A-F0FA-4FB4-AB19-073565D5FC72}"/>
    <hyperlink ref="I15" r:id="rId10" xr:uid="{83ADEE80-6BA7-41D3-8894-62FFCD22DEDE}"/>
    <hyperlink ref="I16" r:id="rId11" xr:uid="{A5989CD3-2C6E-4DB0-9BCF-589AE0EF85A0}"/>
    <hyperlink ref="I19" r:id="rId12" xr:uid="{A548F6CD-F209-40D6-B689-B9AE08B5C6D2}"/>
    <hyperlink ref="I20" r:id="rId13" xr:uid="{B72D1A43-AB28-4FA9-B2D3-8D6221607BCC}"/>
    <hyperlink ref="I23" r:id="rId14" xr:uid="{56BBFB7D-CEF7-439F-AC54-8E8ABDA0328E}"/>
    <hyperlink ref="I17" r:id="rId15" xr:uid="{4B56ECB7-848C-41BB-9C25-D07B23B7020F}"/>
    <hyperlink ref="I21" r:id="rId16" xr:uid="{26E72419-7DE1-4719-B9F9-B802C461740E}"/>
    <hyperlink ref="I22" r:id="rId17" xr:uid="{BF28C1A1-0A8F-48FB-9FA7-A110D84FA4E2}"/>
    <hyperlink ref="I24" r:id="rId18" xr:uid="{45FD4595-F262-48F1-B660-3D85C3D0AB47}"/>
    <hyperlink ref="I18" r:id="rId19" xr:uid="{43E4FCF2-3551-433A-9C36-BE73D57EB0A8}"/>
    <hyperlink ref="I8" r:id="rId20" xr:uid="{832D13BF-1247-48D7-A3A2-54A773E32138}"/>
    <hyperlink ref="I25" r:id="rId21" xr:uid="{605AA1A4-2F32-4A49-AD94-27CD4CCED992}"/>
    <hyperlink ref="O13" r:id="rId22" display="Brochure " xr:uid="{74CEA30B-A504-4008-A523-9F402F58739C}"/>
    <hyperlink ref="I13" r:id="rId23" xr:uid="{C05637BC-B37A-4D79-A9DD-9A6B3A624DAB}"/>
    <hyperlink ref="O14" r:id="rId24" xr:uid="{82637485-8185-4949-9CAF-6D10F0D91590}"/>
    <hyperlink ref="O7" r:id="rId25" xr:uid="{40EE7959-AC3C-4FCF-ABC1-9892FE015261}"/>
    <hyperlink ref="I26" r:id="rId26" xr:uid="{58039AF1-03BC-4BD7-AC9C-5338D1BCDF69}"/>
    <hyperlink ref="I9" r:id="rId27" xr:uid="{9D2558F6-3761-47F3-B620-E478B4D64C61}"/>
    <hyperlink ref="O8" r:id="rId28" xr:uid="{9179895B-C2DF-42C6-B17F-EF87CC375E75}"/>
    <hyperlink ref="O16" r:id="rId29" xr:uid="{D50480F0-6900-42C8-9BA7-1A34D16B8B1B}"/>
    <hyperlink ref="I28" r:id="rId30" xr:uid="{8A3424AA-987F-4BF8-8710-016CC8717D67}"/>
  </hyperlinks>
  <pageMargins left="0.7" right="0.7" top="0.75" bottom="0.75" header="0.3" footer="0.3"/>
  <legacyDrawing r:id="rId3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EC363-20F4-4358-B842-2AFE5FF81A70}">
  <dimension ref="A1:U22"/>
  <sheetViews>
    <sheetView workbookViewId="0">
      <pane xSplit="1" topLeftCell="C8" activePane="topRight" state="frozen"/>
      <selection pane="topRight" activeCell="I8" sqref="I8"/>
    </sheetView>
  </sheetViews>
  <sheetFormatPr defaultRowHeight="15"/>
  <cols>
    <col min="1" max="1" width="12.7109375" style="208" bestFit="1" customWidth="1"/>
    <col min="2" max="2" width="22.28515625" style="208" customWidth="1"/>
    <col min="3" max="5" width="26.28515625" style="208" customWidth="1"/>
    <col min="6" max="6" width="41.7109375" style="212" customWidth="1"/>
    <col min="7" max="7" width="18.42578125" style="213" customWidth="1"/>
    <col min="8" max="8" width="14.85546875" style="214" customWidth="1"/>
    <col min="9" max="9" width="91.5703125" style="208" customWidth="1"/>
    <col min="10" max="10" width="36.5703125" style="212" bestFit="1" customWidth="1"/>
    <col min="11" max="11" width="36.5703125" style="208" bestFit="1" customWidth="1"/>
    <col min="12" max="12" width="13.85546875" style="208" bestFit="1" customWidth="1"/>
    <col min="13" max="13" width="12.140625" style="208" bestFit="1" customWidth="1"/>
    <col min="14" max="14" width="11" style="208" customWidth="1"/>
    <col min="15" max="21" width="9.140625" style="208"/>
    <col min="22" max="16384" width="9.140625" style="215"/>
  </cols>
  <sheetData>
    <row r="1" spans="1:21" s="175" customFormat="1">
      <c r="A1" s="176" t="s">
        <v>268</v>
      </c>
      <c r="B1" s="176" t="s">
        <v>269</v>
      </c>
      <c r="C1" s="176" t="s">
        <v>270</v>
      </c>
      <c r="D1" s="176" t="s">
        <v>271</v>
      </c>
      <c r="E1" s="176" t="s">
        <v>272</v>
      </c>
      <c r="F1" s="207" t="s">
        <v>10</v>
      </c>
      <c r="G1" s="210" t="s">
        <v>273</v>
      </c>
      <c r="H1" s="210" t="s">
        <v>274</v>
      </c>
      <c r="I1" s="176" t="s">
        <v>16</v>
      </c>
      <c r="J1" s="207" t="s">
        <v>275</v>
      </c>
      <c r="K1" s="176"/>
      <c r="L1" s="176"/>
      <c r="M1" s="176" t="s">
        <v>276</v>
      </c>
      <c r="N1" s="176"/>
      <c r="O1" s="176"/>
      <c r="P1" s="176"/>
      <c r="Q1" s="176"/>
      <c r="R1" s="176"/>
      <c r="S1" s="176"/>
      <c r="T1" s="176"/>
      <c r="U1" s="176"/>
    </row>
    <row r="2" spans="1:21" ht="121.5" customHeight="1">
      <c r="A2" s="345" t="s">
        <v>277</v>
      </c>
      <c r="B2" s="346" t="s">
        <v>278</v>
      </c>
      <c r="C2" s="347" t="s">
        <v>27</v>
      </c>
      <c r="D2" s="347" t="s">
        <v>279</v>
      </c>
      <c r="E2" s="106" t="s">
        <v>280</v>
      </c>
      <c r="F2" s="218" t="s">
        <v>68</v>
      </c>
      <c r="G2" s="348">
        <f>H2/5</f>
        <v>1590</v>
      </c>
      <c r="H2" s="349">
        <v>7950</v>
      </c>
      <c r="I2" s="350" t="s">
        <v>281</v>
      </c>
      <c r="J2" t="s">
        <v>225</v>
      </c>
      <c r="K2" s="347"/>
      <c r="L2" s="347"/>
      <c r="M2" s="350" t="s">
        <v>282</v>
      </c>
      <c r="N2" s="350" t="s">
        <v>283</v>
      </c>
      <c r="O2" s="220" t="s">
        <v>284</v>
      </c>
      <c r="P2" s="347"/>
      <c r="Q2" s="347"/>
      <c r="R2" s="347"/>
      <c r="S2" s="347"/>
      <c r="T2" s="347"/>
      <c r="U2" s="347"/>
    </row>
    <row r="3" spans="1:21" ht="59.25" customHeight="1">
      <c r="A3" s="345"/>
      <c r="B3" s="346"/>
      <c r="C3" s="347" t="s">
        <v>285</v>
      </c>
      <c r="D3" s="347" t="s">
        <v>286</v>
      </c>
      <c r="E3" s="350" t="s">
        <v>287</v>
      </c>
      <c r="F3" s="318" t="s">
        <v>288</v>
      </c>
      <c r="G3" s="348">
        <f>H3/5</f>
        <v>2000</v>
      </c>
      <c r="H3" s="216">
        <v>10000</v>
      </c>
      <c r="I3" s="346" t="s">
        <v>289</v>
      </c>
      <c r="J3" s="343" t="s">
        <v>290</v>
      </c>
      <c r="K3" s="347"/>
      <c r="L3" s="347"/>
      <c r="M3" s="347"/>
      <c r="N3" s="347"/>
      <c r="O3" s="347"/>
      <c r="P3" s="347"/>
      <c r="Q3" s="347"/>
      <c r="R3" s="347"/>
      <c r="S3" s="347"/>
      <c r="T3" s="347"/>
      <c r="U3" s="347"/>
    </row>
    <row r="4" spans="1:21" ht="93" customHeight="1">
      <c r="A4" s="345"/>
      <c r="B4" s="346"/>
      <c r="C4" s="347" t="s">
        <v>285</v>
      </c>
      <c r="D4" s="347" t="s">
        <v>286</v>
      </c>
      <c r="E4" s="350" t="s">
        <v>291</v>
      </c>
      <c r="F4" s="318"/>
      <c r="G4" s="348">
        <f>H4/5</f>
        <v>2000</v>
      </c>
      <c r="H4" s="216">
        <v>10000</v>
      </c>
      <c r="I4" s="346"/>
      <c r="J4" s="343"/>
      <c r="K4" s="347"/>
      <c r="L4" s="347"/>
      <c r="M4" s="347"/>
      <c r="N4" s="347"/>
      <c r="O4" s="347"/>
      <c r="P4" s="347"/>
      <c r="Q4" s="347"/>
      <c r="R4" s="347"/>
      <c r="S4" s="347"/>
      <c r="T4" s="347"/>
      <c r="U4" s="347"/>
    </row>
    <row r="5" spans="1:21" s="227" customFormat="1" ht="180">
      <c r="A5" s="345"/>
      <c r="B5" s="346"/>
      <c r="C5" s="351" t="s">
        <v>243</v>
      </c>
      <c r="D5" s="351" t="s">
        <v>292</v>
      </c>
      <c r="E5" s="351" t="s">
        <v>293</v>
      </c>
      <c r="F5" s="225" t="s">
        <v>294</v>
      </c>
      <c r="G5" s="352">
        <v>1200</v>
      </c>
      <c r="H5" s="353">
        <f>1200*5</f>
        <v>6000</v>
      </c>
      <c r="I5" s="354" t="s">
        <v>295</v>
      </c>
      <c r="J5" s="226" t="s">
        <v>296</v>
      </c>
      <c r="K5" s="351"/>
      <c r="L5" s="351"/>
      <c r="M5" s="351"/>
      <c r="N5" s="351"/>
      <c r="O5" s="351"/>
      <c r="P5" s="351"/>
      <c r="Q5" s="351"/>
      <c r="R5" s="351"/>
      <c r="S5" s="351"/>
      <c r="T5" s="351"/>
      <c r="U5" s="351"/>
    </row>
    <row r="6" spans="1:21" s="227" customFormat="1" ht="210">
      <c r="A6" s="346" t="s">
        <v>297</v>
      </c>
      <c r="B6" s="346" t="s">
        <v>298</v>
      </c>
      <c r="C6" s="351" t="s">
        <v>299</v>
      </c>
      <c r="D6" s="351" t="s">
        <v>300</v>
      </c>
      <c r="E6" s="354" t="s">
        <v>301</v>
      </c>
      <c r="F6" s="228" t="s">
        <v>302</v>
      </c>
      <c r="G6" s="352">
        <v>845</v>
      </c>
      <c r="H6" s="353">
        <v>2670</v>
      </c>
      <c r="I6" s="354" t="s">
        <v>303</v>
      </c>
      <c r="J6" s="232" t="s">
        <v>304</v>
      </c>
      <c r="K6" s="232" t="s">
        <v>305</v>
      </c>
      <c r="L6" s="236" t="s">
        <v>306</v>
      </c>
      <c r="M6" s="351"/>
      <c r="N6" s="351"/>
      <c r="O6" s="351"/>
      <c r="P6" s="351"/>
      <c r="Q6" s="351"/>
      <c r="R6" s="351"/>
      <c r="S6" s="351"/>
      <c r="T6" s="351"/>
      <c r="U6" s="351"/>
    </row>
    <row r="7" spans="1:21" ht="75">
      <c r="A7" s="346"/>
      <c r="B7" s="346"/>
      <c r="C7" s="347" t="s">
        <v>27</v>
      </c>
      <c r="D7" s="347" t="s">
        <v>279</v>
      </c>
      <c r="E7" s="1" t="s">
        <v>307</v>
      </c>
      <c r="F7" s="218" t="s">
        <v>308</v>
      </c>
      <c r="G7" s="217">
        <f>H7/4</f>
        <v>1247.5</v>
      </c>
      <c r="H7" s="216">
        <v>4990</v>
      </c>
      <c r="I7" s="350" t="s">
        <v>309</v>
      </c>
      <c r="J7" t="s">
        <v>225</v>
      </c>
      <c r="K7" s="347"/>
      <c r="L7" s="347"/>
      <c r="M7" s="347"/>
      <c r="N7" s="347"/>
      <c r="O7" s="347"/>
      <c r="P7" s="347"/>
      <c r="Q7" s="347"/>
      <c r="R7" s="347"/>
      <c r="S7" s="347"/>
      <c r="T7" s="347"/>
      <c r="U7" s="347"/>
    </row>
    <row r="8" spans="1:21" s="227" customFormat="1" ht="195">
      <c r="A8" s="351" t="s">
        <v>310</v>
      </c>
      <c r="B8" s="354" t="s">
        <v>311</v>
      </c>
      <c r="C8" s="351" t="s">
        <v>27</v>
      </c>
      <c r="D8" s="351" t="s">
        <v>279</v>
      </c>
      <c r="E8" s="234" t="s">
        <v>312</v>
      </c>
      <c r="F8" s="225" t="s">
        <v>313</v>
      </c>
      <c r="G8" s="355">
        <f>H8/6</f>
        <v>1590</v>
      </c>
      <c r="H8" s="356" t="s">
        <v>314</v>
      </c>
      <c r="I8" s="235" t="s">
        <v>315</v>
      </c>
      <c r="J8" s="226" t="s">
        <v>225</v>
      </c>
      <c r="K8" s="351"/>
      <c r="L8" s="351"/>
      <c r="M8" s="351"/>
      <c r="N8" s="351"/>
      <c r="O8" s="351"/>
      <c r="P8" s="351"/>
      <c r="Q8" s="351"/>
      <c r="R8" s="351"/>
      <c r="S8" s="351"/>
      <c r="T8" s="351"/>
      <c r="U8" s="351"/>
    </row>
    <row r="9" spans="1:21" s="227" customFormat="1" ht="76.5">
      <c r="A9" s="351" t="s">
        <v>316</v>
      </c>
      <c r="B9" s="354" t="s">
        <v>317</v>
      </c>
      <c r="C9" s="351" t="s">
        <v>318</v>
      </c>
      <c r="D9" s="351" t="s">
        <v>319</v>
      </c>
      <c r="E9" s="351"/>
      <c r="F9" s="228" t="s">
        <v>320</v>
      </c>
      <c r="G9" s="352">
        <v>568.91999999999996</v>
      </c>
      <c r="H9" s="229">
        <f>G9*4</f>
        <v>2275.6799999999998</v>
      </c>
      <c r="I9" s="357" t="s">
        <v>321</v>
      </c>
      <c r="J9" s="354"/>
      <c r="K9" s="351"/>
      <c r="L9" s="351"/>
      <c r="M9" s="351"/>
      <c r="N9" s="351"/>
      <c r="O9" s="351"/>
      <c r="P9" s="351"/>
      <c r="Q9" s="351"/>
      <c r="R9" s="351"/>
      <c r="S9" s="351"/>
      <c r="T9" s="351"/>
      <c r="U9" s="351"/>
    </row>
    <row r="10" spans="1:21" ht="105">
      <c r="A10" s="347"/>
      <c r="B10" s="347"/>
      <c r="C10" s="347" t="s">
        <v>27</v>
      </c>
      <c r="D10" s="347" t="s">
        <v>279</v>
      </c>
      <c r="E10" s="347" t="s">
        <v>322</v>
      </c>
      <c r="F10" s="209" t="s">
        <v>323</v>
      </c>
      <c r="G10" s="348">
        <f>H10/4</f>
        <v>1300</v>
      </c>
      <c r="H10" s="349">
        <v>5200</v>
      </c>
      <c r="I10" s="347" t="s">
        <v>324</v>
      </c>
      <c r="J10" t="s">
        <v>325</v>
      </c>
      <c r="K10" s="347"/>
      <c r="L10" s="347"/>
      <c r="M10" s="347"/>
      <c r="N10" s="347"/>
      <c r="O10" s="347"/>
      <c r="P10" s="347"/>
      <c r="Q10" s="347"/>
      <c r="R10" s="347"/>
      <c r="S10" s="347"/>
      <c r="T10" s="347"/>
      <c r="U10" s="347"/>
    </row>
    <row r="11" spans="1:21">
      <c r="A11" s="347"/>
      <c r="B11" s="347"/>
      <c r="C11" s="347"/>
      <c r="D11" s="347"/>
      <c r="E11" s="347"/>
      <c r="F11" s="219"/>
      <c r="G11" s="348"/>
      <c r="H11" s="349"/>
      <c r="I11" s="347"/>
      <c r="J11" s="350"/>
      <c r="K11" s="347"/>
      <c r="L11" s="347"/>
      <c r="M11" s="347"/>
      <c r="N11" s="347"/>
      <c r="O11" s="347"/>
      <c r="P11" s="347"/>
      <c r="Q11" s="347"/>
      <c r="R11" s="347"/>
      <c r="S11" s="347"/>
      <c r="T11" s="347"/>
      <c r="U11" s="347"/>
    </row>
    <row r="12" spans="1:21">
      <c r="A12" s="347"/>
      <c r="B12" s="347"/>
      <c r="C12" s="347"/>
      <c r="D12" s="347"/>
      <c r="E12" s="347"/>
      <c r="F12" s="350"/>
      <c r="G12" s="348"/>
      <c r="H12" s="349"/>
      <c r="I12" s="347"/>
      <c r="J12" s="350"/>
      <c r="K12" s="347"/>
      <c r="L12" s="347"/>
      <c r="M12" s="347"/>
      <c r="N12" s="347"/>
      <c r="O12" s="347"/>
      <c r="P12" s="347"/>
      <c r="Q12" s="347"/>
      <c r="R12" s="347"/>
      <c r="S12" s="347"/>
      <c r="T12" s="347"/>
      <c r="U12" s="347"/>
    </row>
    <row r="13" spans="1:21">
      <c r="A13" s="176" t="s">
        <v>326</v>
      </c>
      <c r="B13" s="347"/>
      <c r="C13" s="347"/>
      <c r="D13" s="347"/>
      <c r="E13" s="347"/>
      <c r="F13" s="350"/>
      <c r="G13" s="348"/>
      <c r="H13" s="233">
        <f>SUM(H5,H6,H8,H9,)</f>
        <v>10945.68</v>
      </c>
      <c r="I13" s="347"/>
      <c r="J13" s="350"/>
      <c r="K13" s="347"/>
      <c r="L13" s="347"/>
      <c r="M13" s="347"/>
      <c r="N13" s="347"/>
      <c r="O13" s="347"/>
      <c r="P13" s="347"/>
      <c r="Q13" s="347"/>
      <c r="R13" s="347"/>
      <c r="S13" s="347"/>
      <c r="T13" s="347"/>
      <c r="U13" s="347"/>
    </row>
    <row r="14" spans="1:21">
      <c r="A14" s="347"/>
      <c r="B14" s="347"/>
      <c r="C14" s="347"/>
      <c r="D14" s="347"/>
      <c r="E14" s="347"/>
      <c r="F14" s="350"/>
      <c r="G14" s="348"/>
      <c r="H14" s="349"/>
      <c r="I14" s="347"/>
      <c r="J14" s="350"/>
      <c r="K14" s="347"/>
      <c r="L14" s="347"/>
      <c r="M14" s="347"/>
      <c r="N14" s="347"/>
      <c r="O14" s="347"/>
      <c r="P14" s="347"/>
      <c r="Q14" s="347"/>
      <c r="R14" s="347"/>
      <c r="S14" s="347"/>
      <c r="T14" s="347"/>
      <c r="U14" s="347"/>
    </row>
    <row r="15" spans="1:21">
      <c r="A15" s="347"/>
      <c r="B15" s="347"/>
      <c r="C15" s="347"/>
      <c r="D15" s="347"/>
      <c r="E15" s="347"/>
      <c r="F15" s="350"/>
      <c r="G15" s="348"/>
      <c r="H15" s="349"/>
      <c r="I15" s="347"/>
      <c r="J15" s="350"/>
      <c r="K15" s="347"/>
      <c r="L15" s="347"/>
      <c r="M15" s="347"/>
      <c r="N15" s="347"/>
      <c r="O15" s="347"/>
      <c r="P15" s="347"/>
      <c r="Q15" s="347"/>
      <c r="R15" s="347"/>
      <c r="S15" s="347"/>
      <c r="T15" s="347"/>
      <c r="U15" s="347"/>
    </row>
    <row r="16" spans="1:21">
      <c r="A16" s="347"/>
      <c r="B16" s="347"/>
      <c r="C16" s="347"/>
      <c r="D16" s="347"/>
      <c r="E16" s="347"/>
      <c r="F16" s="350"/>
      <c r="G16" s="348"/>
      <c r="H16" s="349"/>
      <c r="I16" s="347"/>
      <c r="J16" s="350"/>
      <c r="K16" s="347"/>
      <c r="L16" s="347"/>
      <c r="M16" s="347"/>
      <c r="N16" s="347"/>
      <c r="O16" s="347"/>
      <c r="P16" s="347"/>
      <c r="Q16" s="347"/>
      <c r="R16" s="347"/>
      <c r="S16" s="347"/>
      <c r="T16" s="347"/>
      <c r="U16" s="347"/>
    </row>
    <row r="17" spans="1:21">
      <c r="A17" s="347"/>
      <c r="B17" s="347"/>
      <c r="C17" s="347"/>
      <c r="D17" s="347"/>
      <c r="E17" s="347"/>
      <c r="F17" s="350"/>
      <c r="G17" s="348"/>
      <c r="H17" s="349"/>
      <c r="I17" s="347"/>
      <c r="J17" s="350"/>
      <c r="K17" s="347"/>
      <c r="L17" s="347"/>
      <c r="M17" s="347"/>
      <c r="N17" s="347"/>
      <c r="O17" s="347"/>
      <c r="P17" s="347"/>
      <c r="Q17" s="347"/>
      <c r="R17" s="347"/>
      <c r="S17" s="347"/>
      <c r="T17" s="347"/>
      <c r="U17" s="347"/>
    </row>
    <row r="18" spans="1:21">
      <c r="A18" s="347"/>
      <c r="B18" s="347"/>
      <c r="C18" s="347"/>
      <c r="D18" s="347"/>
      <c r="E18" s="347"/>
      <c r="F18" s="350"/>
      <c r="G18" s="348"/>
      <c r="H18" s="349"/>
      <c r="I18" s="347"/>
      <c r="J18" s="350"/>
      <c r="K18" s="347"/>
      <c r="L18" s="347"/>
      <c r="M18" s="347"/>
      <c r="N18" s="347"/>
      <c r="O18" s="347"/>
      <c r="P18" s="347"/>
      <c r="Q18" s="347"/>
      <c r="R18" s="347"/>
      <c r="S18" s="347"/>
      <c r="T18" s="347"/>
      <c r="U18" s="347"/>
    </row>
    <row r="19" spans="1:21">
      <c r="A19" s="347"/>
      <c r="B19" s="347"/>
      <c r="C19" s="347"/>
      <c r="D19" s="347"/>
      <c r="E19" s="347"/>
      <c r="F19" s="350"/>
      <c r="G19" s="348"/>
      <c r="H19" s="349"/>
      <c r="I19" s="347"/>
      <c r="J19" s="350"/>
      <c r="K19" s="347"/>
      <c r="L19" s="347"/>
      <c r="M19" s="347"/>
      <c r="N19" s="347"/>
      <c r="O19" s="347"/>
      <c r="P19" s="347"/>
      <c r="Q19" s="347"/>
      <c r="R19" s="347"/>
      <c r="S19" s="347"/>
      <c r="T19" s="347"/>
      <c r="U19" s="347"/>
    </row>
    <row r="20" spans="1:21">
      <c r="A20" s="347"/>
      <c r="B20" s="347"/>
      <c r="C20" s="347"/>
      <c r="D20" s="347"/>
      <c r="E20" s="347"/>
      <c r="F20" s="350"/>
      <c r="G20" s="348"/>
      <c r="H20" s="349"/>
      <c r="I20" s="347"/>
      <c r="J20" s="350"/>
      <c r="K20" s="347"/>
      <c r="L20" s="347"/>
      <c r="M20" s="347"/>
      <c r="N20" s="347"/>
      <c r="O20" s="347"/>
      <c r="P20" s="347"/>
      <c r="Q20" s="347"/>
      <c r="R20" s="347"/>
      <c r="S20" s="347"/>
      <c r="T20" s="347"/>
      <c r="U20" s="347"/>
    </row>
    <row r="21" spans="1:21">
      <c r="A21" s="347"/>
      <c r="B21" s="347"/>
      <c r="C21" s="347"/>
      <c r="D21" s="347"/>
      <c r="E21" s="347"/>
      <c r="F21" s="350"/>
      <c r="G21" s="348"/>
      <c r="H21" s="349"/>
      <c r="I21" s="347"/>
      <c r="J21" s="350"/>
      <c r="K21" s="347"/>
      <c r="L21" s="347"/>
      <c r="M21" s="347"/>
      <c r="N21" s="347"/>
      <c r="O21" s="347"/>
      <c r="P21" s="347"/>
      <c r="Q21" s="347"/>
      <c r="R21" s="347"/>
      <c r="S21" s="347"/>
      <c r="T21" s="347"/>
      <c r="U21" s="347"/>
    </row>
    <row r="22" spans="1:21">
      <c r="A22" s="347"/>
      <c r="B22" s="347"/>
      <c r="C22" s="347"/>
      <c r="D22" s="347"/>
      <c r="E22" s="347"/>
      <c r="F22" s="350"/>
      <c r="G22" s="348"/>
      <c r="H22" s="349"/>
      <c r="I22" s="347"/>
      <c r="J22" s="350"/>
      <c r="K22" s="347"/>
      <c r="L22" s="347"/>
      <c r="M22" s="347"/>
      <c r="N22" s="347"/>
      <c r="O22" s="347"/>
      <c r="P22" s="347"/>
      <c r="Q22" s="347"/>
      <c r="R22" s="347"/>
      <c r="S22" s="347"/>
      <c r="T22" s="347"/>
      <c r="U22" s="347"/>
    </row>
  </sheetData>
  <mergeCells count="7">
    <mergeCell ref="A6:A7"/>
    <mergeCell ref="B6:B7"/>
    <mergeCell ref="J3:J4"/>
    <mergeCell ref="I3:I4"/>
    <mergeCell ref="F3:F4"/>
    <mergeCell ref="A2:A5"/>
    <mergeCell ref="B2:B5"/>
  </mergeCells>
  <hyperlinks>
    <hyperlink ref="F3" r:id="rId1" xr:uid="{D7936600-E8F3-4192-A4DA-11D699A21933}"/>
    <hyperlink ref="F6" r:id="rId2" display="https://www.pipeline.it/formazione/prodotto/moc-ms-102-microsoft-365-administrator-essentials/?_gl=1*j3p9rn*_up*MQ..*_ga*NDg3ODExNTYxLjE3Nzg2NTg0Mzk.*_ga_KHZTFLRB0J*czE3Nzg2NTgzOTAkbzEkZzEkdDE3Nzg2NTg1NzEkajQ3JGwwJGgw" xr:uid="{897FE09F-E5E0-42A8-9BC9-C83BCE583E9D}"/>
    <hyperlink ref="F7" r:id="rId3" xr:uid="{F8C09312-3B1F-49A5-9C0B-028DB065F7DF}"/>
    <hyperlink ref="F8" r:id="rId4" xr:uid="{0DAE88B8-08F7-401A-B357-95D8C5178B2A}"/>
    <hyperlink ref="F5" r:id="rId5" xr:uid="{D7D8909E-847A-4CF5-8C9F-2ABF14E1055F}"/>
    <hyperlink ref="J5" r:id="rId6" xr:uid="{058E3247-5A5C-43BF-ABA3-1B9021F08DC1}"/>
    <hyperlink ref="J6" r:id="rId7" xr:uid="{7456BDFC-4196-4A51-831A-8C4558C45319}"/>
    <hyperlink ref="J8" r:id="rId8" xr:uid="{6C48E363-7CE8-4316-A595-CE7F5C0C5DF7}"/>
    <hyperlink ref="F10" r:id="rId9" xr:uid="{CAE483D8-0198-48C1-9089-4FD978F5546F}"/>
    <hyperlink ref="K6" r:id="rId10" location="home" xr:uid="{93260CE3-EA92-498A-BD00-2386FA802CDB}"/>
    <hyperlink ref="L6" r:id="rId11" xr:uid="{FE373952-6D29-4411-BC77-09373129F47C}"/>
    <hyperlink ref="F9" r:id="rId12" xr:uid="{F2BB5009-1E31-4429-BBBB-78C0D2DB2441}"/>
  </hyperlinks>
  <pageMargins left="0.7" right="0.7" top="0.75" bottom="0.75" header="0.3" footer="0.3"/>
  <legacy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1E01E-4948-4F9E-BE7C-CA06498FB1B9}">
  <dimension ref="A1:V8"/>
  <sheetViews>
    <sheetView tabSelected="1" workbookViewId="0">
      <pane ySplit="1" topLeftCell="A4" activePane="bottomLeft" state="frozen"/>
      <selection pane="bottomLeft" activeCell="F6" sqref="F6"/>
    </sheetView>
  </sheetViews>
  <sheetFormatPr defaultRowHeight="15"/>
  <cols>
    <col min="1" max="1" width="17.42578125" bestFit="1" customWidth="1"/>
    <col min="2" max="2" width="18.42578125" bestFit="1" customWidth="1"/>
    <col min="3" max="3" width="20.140625" bestFit="1" customWidth="1"/>
    <col min="4" max="4" width="16.5703125" customWidth="1"/>
    <col min="5" max="5" width="16.42578125" bestFit="1" customWidth="1"/>
    <col min="6" max="6" width="16.42578125" customWidth="1"/>
    <col min="7" max="7" width="11.5703125" bestFit="1" customWidth="1"/>
    <col min="8" max="8" width="11.140625" bestFit="1" customWidth="1"/>
    <col min="9" max="9" width="10.7109375" bestFit="1" customWidth="1"/>
    <col min="10" max="10" width="42.28515625" customWidth="1"/>
    <col min="11" max="11" width="18.5703125" bestFit="1" customWidth="1"/>
  </cols>
  <sheetData>
    <row r="1" spans="1:22" s="168" customFormat="1">
      <c r="A1" s="168" t="s">
        <v>118</v>
      </c>
      <c r="B1" s="168" t="s">
        <v>2</v>
      </c>
      <c r="C1" s="168" t="s">
        <v>270</v>
      </c>
      <c r="D1" s="169" t="s">
        <v>327</v>
      </c>
      <c r="E1" s="169" t="s">
        <v>328</v>
      </c>
      <c r="F1" s="169" t="s">
        <v>329</v>
      </c>
      <c r="G1" s="168" t="s">
        <v>13</v>
      </c>
      <c r="H1" s="168" t="s">
        <v>330</v>
      </c>
      <c r="I1" s="168" t="s">
        <v>331</v>
      </c>
      <c r="J1" s="168" t="s">
        <v>332</v>
      </c>
    </row>
    <row r="2" spans="1:22" s="110" customFormat="1" ht="336">
      <c r="A2" s="110" t="s">
        <v>333</v>
      </c>
      <c r="B2" s="110" t="s">
        <v>334</v>
      </c>
      <c r="C2" s="156" t="s">
        <v>125</v>
      </c>
      <c r="D2" s="269" t="s">
        <v>124</v>
      </c>
      <c r="E2" s="156" t="s">
        <v>335</v>
      </c>
      <c r="F2" s="156" t="s">
        <v>336</v>
      </c>
      <c r="G2" s="270">
        <v>46090</v>
      </c>
      <c r="H2" s="156" t="s">
        <v>337</v>
      </c>
      <c r="I2" s="110" t="s">
        <v>338</v>
      </c>
      <c r="J2" s="271" t="s">
        <v>339</v>
      </c>
    </row>
    <row r="3" spans="1:22" ht="90">
      <c r="A3" s="106" t="s">
        <v>178</v>
      </c>
      <c r="B3" s="106" t="s">
        <v>179</v>
      </c>
      <c r="C3" s="106" t="s">
        <v>183</v>
      </c>
      <c r="D3" s="173" t="s">
        <v>182</v>
      </c>
      <c r="E3" s="106" t="s">
        <v>340</v>
      </c>
      <c r="F3" s="106" t="s">
        <v>336</v>
      </c>
      <c r="G3" s="205">
        <v>46163</v>
      </c>
      <c r="H3" s="205">
        <v>46528</v>
      </c>
      <c r="I3" t="s">
        <v>338</v>
      </c>
      <c r="J3" s="37">
        <v>46266</v>
      </c>
    </row>
    <row r="4" spans="1:22" ht="30">
      <c r="A4" s="106" t="s">
        <v>178</v>
      </c>
      <c r="B4" s="43" t="s">
        <v>197</v>
      </c>
      <c r="C4" s="106" t="s">
        <v>341</v>
      </c>
      <c r="D4" s="98" t="s">
        <v>342</v>
      </c>
      <c r="E4" s="43" t="s">
        <v>343</v>
      </c>
      <c r="F4" s="43" t="s">
        <v>336</v>
      </c>
      <c r="G4" s="205">
        <v>46163</v>
      </c>
      <c r="H4" s="205">
        <v>46528</v>
      </c>
      <c r="I4" t="s">
        <v>338</v>
      </c>
      <c r="J4" s="37">
        <v>46266</v>
      </c>
    </row>
    <row r="5" spans="1:22" ht="60">
      <c r="A5" s="79" t="s">
        <v>344</v>
      </c>
      <c r="B5" s="79" t="s">
        <v>250</v>
      </c>
      <c r="C5" t="s">
        <v>248</v>
      </c>
      <c r="D5" s="173" t="s">
        <v>247</v>
      </c>
      <c r="E5" s="43" t="s">
        <v>340</v>
      </c>
      <c r="F5" s="43" t="s">
        <v>345</v>
      </c>
      <c r="G5" s="81">
        <v>46161</v>
      </c>
      <c r="H5" s="81">
        <v>46587</v>
      </c>
      <c r="I5" s="24" t="s">
        <v>346</v>
      </c>
      <c r="J5" s="37">
        <v>46192</v>
      </c>
      <c r="K5" s="24"/>
      <c r="L5" s="24"/>
      <c r="M5" s="24"/>
      <c r="N5" s="24"/>
      <c r="O5" s="24"/>
      <c r="P5" s="24"/>
      <c r="Q5" s="24"/>
      <c r="R5" s="24"/>
      <c r="S5" s="24"/>
      <c r="T5" s="24"/>
      <c r="U5" s="24"/>
      <c r="V5" s="24"/>
    </row>
    <row r="6" spans="1:22" ht="76.5">
      <c r="A6" s="79" t="s">
        <v>119</v>
      </c>
      <c r="B6" s="79" t="s">
        <v>128</v>
      </c>
      <c r="C6" s="79" t="s">
        <v>133</v>
      </c>
      <c r="D6" s="173" t="s">
        <v>132</v>
      </c>
      <c r="E6" s="206" t="s">
        <v>343</v>
      </c>
      <c r="F6" s="206" t="s">
        <v>336</v>
      </c>
      <c r="G6" s="81">
        <v>46167</v>
      </c>
      <c r="H6" s="81">
        <v>46532</v>
      </c>
      <c r="I6" t="s">
        <v>338</v>
      </c>
      <c r="J6" s="37">
        <v>46266</v>
      </c>
    </row>
    <row r="7" spans="1:22" ht="121.5">
      <c r="A7" t="s">
        <v>21</v>
      </c>
      <c r="B7" s="1" t="s">
        <v>347</v>
      </c>
      <c r="C7" t="s">
        <v>40</v>
      </c>
      <c r="D7" s="218" t="s">
        <v>320</v>
      </c>
      <c r="E7" t="s">
        <v>343</v>
      </c>
      <c r="F7" t="s">
        <v>336</v>
      </c>
      <c r="G7" s="37">
        <v>46205</v>
      </c>
      <c r="H7" s="37">
        <v>46570</v>
      </c>
      <c r="I7" t="s">
        <v>338</v>
      </c>
      <c r="J7" s="37">
        <v>46300</v>
      </c>
    </row>
    <row r="8" spans="1:22" ht="121.5">
      <c r="A8" t="s">
        <v>21</v>
      </c>
      <c r="B8" s="1" t="s">
        <v>348</v>
      </c>
      <c r="C8" t="s">
        <v>40</v>
      </c>
      <c r="D8" s="218" t="s">
        <v>320</v>
      </c>
      <c r="E8" t="s">
        <v>343</v>
      </c>
      <c r="F8" t="s">
        <v>336</v>
      </c>
      <c r="G8" s="37">
        <v>46211</v>
      </c>
      <c r="H8" s="37">
        <v>46576</v>
      </c>
      <c r="I8" t="s">
        <v>338</v>
      </c>
      <c r="J8" s="37">
        <v>46300</v>
      </c>
    </row>
  </sheetData>
  <hyperlinks>
    <hyperlink ref="D3" r:id="rId1" xr:uid="{573553CD-443C-4CC8-AF46-07AE396F5B41}"/>
    <hyperlink ref="D6" r:id="rId2" xr:uid="{1B80E517-75E6-4C92-A467-7595B5889327}"/>
    <hyperlink ref="D4" r:id="rId3" xr:uid="{FF96583D-357D-4409-8308-E282C786F687}"/>
    <hyperlink ref="D5" r:id="rId4" xr:uid="{A268B1B8-D8C8-4A54-B391-26617172B40D}"/>
    <hyperlink ref="D2" r:id="rId5" xr:uid="{32C45156-CBEA-4B9F-B4FC-F87C404CF4E5}"/>
    <hyperlink ref="D7" r:id="rId6" xr:uid="{B72912AD-72FD-4BC5-94E4-3681BCE4FAEC}"/>
    <hyperlink ref="D8" r:id="rId7" xr:uid="{EBE6DDCD-3DF4-4A05-BC9E-43F1803C2DE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54CEB-F18C-4A5D-8027-1B7ACDACAEEA}">
  <dimension ref="A1:I7"/>
  <sheetViews>
    <sheetView workbookViewId="0">
      <pane ySplit="1" topLeftCell="A4" activePane="bottomLeft" state="frozen"/>
      <selection pane="bottomLeft" activeCell="B6" sqref="B6"/>
    </sheetView>
  </sheetViews>
  <sheetFormatPr defaultRowHeight="15"/>
  <cols>
    <col min="1" max="1" width="14.7109375" style="1" customWidth="1"/>
    <col min="2" max="2" width="25.140625" style="1" customWidth="1"/>
    <col min="3" max="3" width="21" style="1" customWidth="1"/>
    <col min="4" max="4" width="36.5703125" style="1" bestFit="1" customWidth="1"/>
    <col min="5" max="5" width="13.42578125" style="1" bestFit="1" customWidth="1"/>
    <col min="6" max="6" width="22.140625" style="1" customWidth="1"/>
    <col min="7" max="7" width="12.7109375" style="1" bestFit="1" customWidth="1"/>
    <col min="8" max="8" width="12.7109375" style="1" customWidth="1"/>
    <col min="9" max="9" width="18.5703125" style="1" bestFit="1" customWidth="1"/>
  </cols>
  <sheetData>
    <row r="1" spans="1:9" s="168" customFormat="1" ht="30">
      <c r="A1" s="169" t="s">
        <v>118</v>
      </c>
      <c r="B1" s="169" t="s">
        <v>349</v>
      </c>
      <c r="C1" s="169" t="s">
        <v>350</v>
      </c>
      <c r="D1" s="169" t="s">
        <v>351</v>
      </c>
      <c r="E1" s="169" t="s">
        <v>352</v>
      </c>
      <c r="F1" s="169" t="s">
        <v>353</v>
      </c>
      <c r="G1" s="169" t="s">
        <v>354</v>
      </c>
      <c r="H1" s="169" t="s">
        <v>355</v>
      </c>
      <c r="I1" s="169" t="s">
        <v>356</v>
      </c>
    </row>
    <row r="2" spans="1:9" ht="135">
      <c r="A2" s="1" t="s">
        <v>357</v>
      </c>
      <c r="B2" s="1" t="s">
        <v>358</v>
      </c>
      <c r="C2" s="1" t="s">
        <v>359</v>
      </c>
      <c r="D2" s="1" t="s">
        <v>360</v>
      </c>
      <c r="E2" s="170" t="s">
        <v>361</v>
      </c>
      <c r="F2" s="171">
        <v>46202</v>
      </c>
      <c r="G2" s="1" t="s">
        <v>362</v>
      </c>
      <c r="H2" s="1">
        <v>2</v>
      </c>
      <c r="I2" s="1" t="s">
        <v>363</v>
      </c>
    </row>
    <row r="3" spans="1:9" ht="90">
      <c r="A3" s="1" t="s">
        <v>357</v>
      </c>
      <c r="B3" s="1" t="s">
        <v>364</v>
      </c>
      <c r="C3" s="172" t="s">
        <v>365</v>
      </c>
      <c r="D3" s="1" t="s">
        <v>366</v>
      </c>
      <c r="E3" s="1" t="s">
        <v>367</v>
      </c>
      <c r="F3" s="171">
        <v>46181</v>
      </c>
      <c r="G3" s="1" t="s">
        <v>368</v>
      </c>
      <c r="H3" s="1">
        <v>1.5</v>
      </c>
      <c r="I3" s="1" t="s">
        <v>363</v>
      </c>
    </row>
    <row r="4" spans="1:9" ht="75">
      <c r="A4" s="1" t="s">
        <v>357</v>
      </c>
      <c r="B4" s="1" t="s">
        <v>369</v>
      </c>
      <c r="C4" s="1" t="s">
        <v>370</v>
      </c>
      <c r="D4" s="1" t="s">
        <v>371</v>
      </c>
      <c r="E4" s="1" t="s">
        <v>372</v>
      </c>
      <c r="F4" s="171">
        <v>46196</v>
      </c>
      <c r="G4" s="1" t="s">
        <v>373</v>
      </c>
      <c r="H4" s="1">
        <v>2</v>
      </c>
      <c r="I4" s="1" t="s">
        <v>363</v>
      </c>
    </row>
    <row r="5" spans="1:9" ht="60">
      <c r="A5" s="1" t="s">
        <v>357</v>
      </c>
      <c r="B5" s="1" t="s">
        <v>374</v>
      </c>
      <c r="D5" s="1" t="s">
        <v>375</v>
      </c>
      <c r="E5" s="1" t="s">
        <v>376</v>
      </c>
      <c r="F5" s="171">
        <v>46177</v>
      </c>
      <c r="G5" s="1" t="s">
        <v>377</v>
      </c>
      <c r="H5" s="1">
        <v>5</v>
      </c>
      <c r="I5" s="1" t="s">
        <v>378</v>
      </c>
    </row>
    <row r="6" spans="1:9" ht="45">
      <c r="A6" s="1" t="s">
        <v>144</v>
      </c>
      <c r="B6" s="1" t="s">
        <v>379</v>
      </c>
      <c r="C6" s="1" t="s">
        <v>380</v>
      </c>
      <c r="D6" s="1" t="s">
        <v>381</v>
      </c>
      <c r="E6" s="1" t="s">
        <v>382</v>
      </c>
    </row>
    <row r="7" spans="1:9">
      <c r="A7" s="1" t="s">
        <v>383</v>
      </c>
      <c r="B7" s="1" t="s">
        <v>384</v>
      </c>
      <c r="C7" s="1" t="s">
        <v>385</v>
      </c>
      <c r="D7" s="1" t="s">
        <v>386</v>
      </c>
      <c r="E7" s="1" t="s">
        <v>387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13"/>
  <sheetViews>
    <sheetView workbookViewId="0">
      <pane xSplit="1" ySplit="1" topLeftCell="B21" activePane="bottomRight" state="frozen"/>
      <selection pane="bottomRight" activeCell="E5" sqref="E5:E7"/>
      <selection pane="bottomLeft"/>
      <selection pane="topRight"/>
    </sheetView>
  </sheetViews>
  <sheetFormatPr defaultRowHeight="15"/>
  <cols>
    <col min="1" max="1" width="17" style="43" customWidth="1"/>
    <col min="2" max="2" width="18.140625" style="43" customWidth="1"/>
    <col min="3" max="3" width="25.140625" style="43" customWidth="1"/>
    <col min="4" max="4" width="21.28515625" style="43" customWidth="1"/>
    <col min="5" max="5" width="31.42578125" style="43" customWidth="1"/>
    <col min="6" max="6" width="11.42578125" style="43" customWidth="1"/>
    <col min="7" max="7" width="17.28515625" style="43" customWidth="1"/>
    <col min="8" max="8" width="21.28515625" style="43" customWidth="1"/>
    <col min="9" max="9" width="28.5703125" style="43" customWidth="1"/>
    <col min="10" max="10" width="25.5703125" style="43" customWidth="1"/>
    <col min="11" max="11" width="12.42578125" style="43" customWidth="1"/>
    <col min="12" max="12" width="13.7109375" style="43" customWidth="1"/>
    <col min="13" max="14" width="25.5703125" style="43" customWidth="1"/>
    <col min="15" max="15" width="29.5703125" style="43" customWidth="1"/>
    <col min="16" max="17" width="34.85546875" style="32" hidden="1" customWidth="1"/>
    <col min="18" max="18" width="13.140625" hidden="1" customWidth="1"/>
    <col min="19" max="19" width="17.5703125" hidden="1" customWidth="1"/>
    <col min="20" max="21" width="19" hidden="1" customWidth="1"/>
    <col min="22" max="22" width="9.7109375" hidden="1" customWidth="1"/>
    <col min="23" max="23" width="26.5703125" hidden="1" customWidth="1"/>
    <col min="24" max="24" width="36.5703125" hidden="1" customWidth="1"/>
    <col min="25" max="25" width="26" hidden="1" customWidth="1"/>
    <col min="26" max="27" width="25.85546875" hidden="1" customWidth="1"/>
    <col min="28" max="28" width="14.5703125" hidden="1" customWidth="1"/>
    <col min="29" max="29" width="36.5703125" hidden="1" customWidth="1"/>
    <col min="30" max="30" width="8.7109375" hidden="1" customWidth="1"/>
    <col min="31" max="44" width="0" hidden="1" customWidth="1"/>
    <col min="45" max="45" width="19" bestFit="1" customWidth="1"/>
  </cols>
  <sheetData>
    <row r="1" spans="1:30" s="3" customFormat="1" ht="30.75" customHeight="1">
      <c r="A1" s="42" t="s">
        <v>1</v>
      </c>
      <c r="B1" s="42" t="s">
        <v>2</v>
      </c>
      <c r="C1" s="42" t="s">
        <v>17</v>
      </c>
      <c r="D1" s="42" t="s">
        <v>18</v>
      </c>
      <c r="E1" s="42" t="s">
        <v>19</v>
      </c>
      <c r="F1" s="42" t="s">
        <v>5</v>
      </c>
      <c r="G1" s="44" t="s">
        <v>20</v>
      </c>
      <c r="H1" s="42" t="s">
        <v>7</v>
      </c>
      <c r="I1" s="42" t="s">
        <v>10</v>
      </c>
      <c r="J1" s="42" t="s">
        <v>9</v>
      </c>
      <c r="K1" s="42" t="s">
        <v>12</v>
      </c>
      <c r="L1" s="42" t="s">
        <v>13</v>
      </c>
      <c r="M1" s="42" t="s">
        <v>14</v>
      </c>
      <c r="N1" s="42" t="s">
        <v>15</v>
      </c>
      <c r="O1" s="42" t="s">
        <v>16</v>
      </c>
      <c r="P1" s="31" t="s">
        <v>388</v>
      </c>
      <c r="Q1" s="33"/>
      <c r="S1" s="11" t="s">
        <v>6</v>
      </c>
      <c r="T1" s="11" t="s">
        <v>7</v>
      </c>
      <c r="U1" s="11" t="s">
        <v>389</v>
      </c>
      <c r="V1" s="11" t="s">
        <v>8</v>
      </c>
      <c r="W1" s="11" t="s">
        <v>9</v>
      </c>
      <c r="X1" s="11" t="s">
        <v>10</v>
      </c>
      <c r="Y1" s="11" t="s">
        <v>12</v>
      </c>
      <c r="Z1" s="11" t="s">
        <v>13</v>
      </c>
      <c r="AA1" s="11" t="s">
        <v>14</v>
      </c>
      <c r="AB1" s="11" t="s">
        <v>15</v>
      </c>
      <c r="AC1" s="12" t="s">
        <v>16</v>
      </c>
      <c r="AD1" s="11" t="s">
        <v>0</v>
      </c>
    </row>
    <row r="2" spans="1:30" s="2" customFormat="1" ht="30.75" customHeight="1">
      <c r="A2" s="322" t="s">
        <v>333</v>
      </c>
      <c r="B2" s="79" t="s">
        <v>266</v>
      </c>
      <c r="C2" s="79" t="s">
        <v>30</v>
      </c>
      <c r="D2" s="79" t="s">
        <v>390</v>
      </c>
      <c r="E2" s="79" t="s">
        <v>391</v>
      </c>
      <c r="F2" s="79">
        <v>1</v>
      </c>
      <c r="G2" s="79"/>
      <c r="H2" s="79"/>
      <c r="I2" s="79" t="s">
        <v>390</v>
      </c>
      <c r="J2" s="79" t="s">
        <v>390</v>
      </c>
      <c r="K2" s="79" t="s">
        <v>390</v>
      </c>
      <c r="L2" s="79" t="s">
        <v>390</v>
      </c>
      <c r="M2" s="79" t="s">
        <v>390</v>
      </c>
      <c r="N2" s="79" t="s">
        <v>390</v>
      </c>
      <c r="O2" s="79" t="s">
        <v>392</v>
      </c>
      <c r="P2" s="54"/>
      <c r="Q2" s="54"/>
      <c r="U2" s="324" t="s">
        <v>393</v>
      </c>
      <c r="AC2" s="36" t="s">
        <v>392</v>
      </c>
      <c r="AD2" s="2" t="s">
        <v>394</v>
      </c>
    </row>
    <row r="3" spans="1:30" s="2" customFormat="1" ht="30">
      <c r="A3" s="322"/>
      <c r="B3" s="79" t="s">
        <v>395</v>
      </c>
      <c r="C3" s="79" t="s">
        <v>30</v>
      </c>
      <c r="D3" s="79" t="s">
        <v>30</v>
      </c>
      <c r="E3" s="79" t="s">
        <v>30</v>
      </c>
      <c r="F3" s="79" t="s">
        <v>30</v>
      </c>
      <c r="G3" s="79" t="s">
        <v>30</v>
      </c>
      <c r="H3" s="79" t="s">
        <v>30</v>
      </c>
      <c r="I3" s="79" t="s">
        <v>30</v>
      </c>
      <c r="J3" s="79" t="s">
        <v>30</v>
      </c>
      <c r="K3" s="79" t="s">
        <v>30</v>
      </c>
      <c r="L3" s="79" t="s">
        <v>30</v>
      </c>
      <c r="M3" s="79" t="s">
        <v>30</v>
      </c>
      <c r="N3" s="79" t="s">
        <v>30</v>
      </c>
      <c r="O3" s="79" t="s">
        <v>396</v>
      </c>
      <c r="P3" s="54"/>
      <c r="Q3" s="54"/>
      <c r="U3" s="324"/>
      <c r="AC3" s="36"/>
    </row>
    <row r="4" spans="1:30" s="2" customFormat="1" ht="92.25" customHeight="1">
      <c r="A4" s="322"/>
      <c r="B4" s="79" t="s">
        <v>397</v>
      </c>
      <c r="C4" s="79" t="s">
        <v>121</v>
      </c>
      <c r="D4" s="79" t="s">
        <v>122</v>
      </c>
      <c r="E4" s="79" t="s">
        <v>123</v>
      </c>
      <c r="F4" s="79">
        <v>1</v>
      </c>
      <c r="G4" s="79">
        <v>1</v>
      </c>
      <c r="H4" s="79">
        <v>2</v>
      </c>
      <c r="I4" s="80" t="s">
        <v>124</v>
      </c>
      <c r="J4" s="79" t="s">
        <v>125</v>
      </c>
      <c r="K4" s="79">
        <v>35</v>
      </c>
      <c r="L4" s="81">
        <v>46090</v>
      </c>
      <c r="M4" s="81">
        <v>46295</v>
      </c>
      <c r="N4" s="82">
        <v>559.54</v>
      </c>
      <c r="O4" s="79" t="s">
        <v>126</v>
      </c>
      <c r="P4" s="55"/>
      <c r="Q4" s="55"/>
      <c r="S4" s="2">
        <v>1</v>
      </c>
      <c r="T4" s="2">
        <v>2</v>
      </c>
      <c r="U4" s="324"/>
      <c r="V4" s="2" t="s">
        <v>39</v>
      </c>
      <c r="W4" s="2" t="s">
        <v>125</v>
      </c>
      <c r="X4" s="5" t="s">
        <v>124</v>
      </c>
      <c r="Y4" s="2">
        <v>35</v>
      </c>
      <c r="Z4" s="56">
        <v>46090</v>
      </c>
      <c r="AA4" s="56">
        <v>46295</v>
      </c>
      <c r="AB4" s="57">
        <v>559.54</v>
      </c>
      <c r="AC4" s="36" t="s">
        <v>398</v>
      </c>
      <c r="AD4" s="2" t="s">
        <v>70</v>
      </c>
    </row>
    <row r="5" spans="1:30" s="2" customFormat="1" ht="45">
      <c r="A5" s="322"/>
      <c r="B5" s="322" t="s">
        <v>267</v>
      </c>
      <c r="C5" s="322"/>
      <c r="D5" s="322" t="s">
        <v>399</v>
      </c>
      <c r="E5" s="322" t="s">
        <v>400</v>
      </c>
      <c r="F5" s="322">
        <v>2</v>
      </c>
      <c r="G5" s="322">
        <v>0</v>
      </c>
      <c r="H5" s="322">
        <v>1</v>
      </c>
      <c r="I5" s="80" t="s">
        <v>401</v>
      </c>
      <c r="J5" s="79" t="s">
        <v>159</v>
      </c>
      <c r="K5" s="79">
        <v>24</v>
      </c>
      <c r="L5" s="79" t="s">
        <v>402</v>
      </c>
      <c r="M5" s="81">
        <v>46150</v>
      </c>
      <c r="N5" s="82">
        <v>2400</v>
      </c>
      <c r="O5" s="79" t="s">
        <v>403</v>
      </c>
      <c r="P5" s="55"/>
      <c r="Q5" s="55"/>
      <c r="S5" s="287">
        <v>0</v>
      </c>
      <c r="T5" s="287">
        <v>1</v>
      </c>
      <c r="U5" s="324"/>
      <c r="V5" s="287" t="s">
        <v>39</v>
      </c>
      <c r="W5" s="36" t="s">
        <v>159</v>
      </c>
      <c r="X5" s="5" t="s">
        <v>401</v>
      </c>
      <c r="Y5" s="2">
        <v>24</v>
      </c>
      <c r="Z5" s="2" t="s">
        <v>402</v>
      </c>
      <c r="AA5" s="56">
        <v>46150</v>
      </c>
      <c r="AB5" s="57">
        <v>2400</v>
      </c>
      <c r="AC5" s="36" t="s">
        <v>403</v>
      </c>
    </row>
    <row r="6" spans="1:30" s="2" customFormat="1" ht="59.25" customHeight="1">
      <c r="A6" s="322"/>
      <c r="B6" s="322"/>
      <c r="C6" s="322"/>
      <c r="D6" s="322"/>
      <c r="E6" s="322"/>
      <c r="F6" s="322"/>
      <c r="G6" s="322"/>
      <c r="H6" s="322"/>
      <c r="I6" s="80" t="s">
        <v>404</v>
      </c>
      <c r="J6" s="79" t="s">
        <v>405</v>
      </c>
      <c r="K6" s="79">
        <v>13</v>
      </c>
      <c r="L6" s="79" t="s">
        <v>31</v>
      </c>
      <c r="M6" s="79" t="s">
        <v>31</v>
      </c>
      <c r="N6" s="82">
        <v>1250</v>
      </c>
      <c r="O6" s="79" t="s">
        <v>406</v>
      </c>
      <c r="P6" s="55"/>
      <c r="Q6" s="55"/>
      <c r="S6" s="287"/>
      <c r="T6" s="287"/>
      <c r="U6" s="324"/>
      <c r="V6" s="287"/>
      <c r="W6" s="2" t="s">
        <v>405</v>
      </c>
      <c r="X6" s="5" t="s">
        <v>404</v>
      </c>
      <c r="Y6" s="2">
        <v>13</v>
      </c>
      <c r="AB6" s="58">
        <v>1250</v>
      </c>
      <c r="AC6" s="36" t="s">
        <v>406</v>
      </c>
    </row>
    <row r="7" spans="1:30" s="2" customFormat="1" ht="60.75" customHeight="1">
      <c r="A7" s="322"/>
      <c r="B7" s="322"/>
      <c r="C7" s="322"/>
      <c r="D7" s="322"/>
      <c r="E7" s="322"/>
      <c r="F7" s="322"/>
      <c r="G7" s="322"/>
      <c r="H7" s="322"/>
      <c r="I7" s="80" t="s">
        <v>407</v>
      </c>
      <c r="J7" s="79" t="s">
        <v>408</v>
      </c>
      <c r="K7" s="79">
        <v>16</v>
      </c>
      <c r="L7" s="79" t="s">
        <v>31</v>
      </c>
      <c r="M7" s="79" t="s">
        <v>31</v>
      </c>
      <c r="N7" s="82">
        <v>750</v>
      </c>
      <c r="O7" s="79" t="s">
        <v>409</v>
      </c>
      <c r="P7" s="55"/>
      <c r="Q7" s="55"/>
      <c r="S7" s="287"/>
      <c r="T7" s="287"/>
      <c r="U7" s="324"/>
      <c r="V7" s="287"/>
      <c r="W7" s="2" t="s">
        <v>408</v>
      </c>
      <c r="X7" s="5" t="s">
        <v>407</v>
      </c>
      <c r="Y7" s="2">
        <v>16</v>
      </c>
      <c r="AB7" s="58">
        <v>750</v>
      </c>
      <c r="AC7" s="36" t="s">
        <v>409</v>
      </c>
    </row>
    <row r="8" spans="1:30" s="2" customFormat="1" ht="60.75" customHeight="1">
      <c r="A8" s="322"/>
      <c r="B8" s="322"/>
      <c r="C8" s="79" t="s">
        <v>384</v>
      </c>
      <c r="D8" s="79" t="s">
        <v>410</v>
      </c>
      <c r="E8" s="79" t="s">
        <v>411</v>
      </c>
      <c r="F8" s="79">
        <v>1</v>
      </c>
      <c r="G8" s="79">
        <v>2</v>
      </c>
      <c r="H8" s="79">
        <v>3</v>
      </c>
      <c r="I8" s="79" t="s">
        <v>30</v>
      </c>
      <c r="J8" s="79" t="s">
        <v>30</v>
      </c>
      <c r="K8" s="79" t="s">
        <v>30</v>
      </c>
      <c r="L8" s="79" t="s">
        <v>30</v>
      </c>
      <c r="M8" s="79" t="s">
        <v>30</v>
      </c>
      <c r="N8" s="79" t="s">
        <v>30</v>
      </c>
      <c r="O8" s="79"/>
      <c r="P8" s="55"/>
      <c r="Q8" s="55"/>
      <c r="U8" s="324"/>
      <c r="X8" s="5"/>
      <c r="AB8" s="58"/>
      <c r="AC8" s="36"/>
    </row>
    <row r="9" spans="1:30" s="2" customFormat="1" ht="45">
      <c r="A9" s="322"/>
      <c r="B9" s="79" t="s">
        <v>412</v>
      </c>
      <c r="C9" s="79" t="s">
        <v>129</v>
      </c>
      <c r="D9" s="79" t="s">
        <v>130</v>
      </c>
      <c r="E9" s="79" t="s">
        <v>131</v>
      </c>
      <c r="F9" s="79">
        <v>1</v>
      </c>
      <c r="G9" s="79">
        <v>1</v>
      </c>
      <c r="H9" s="79">
        <v>2</v>
      </c>
      <c r="I9" s="80" t="s">
        <v>132</v>
      </c>
      <c r="J9" s="79" t="s">
        <v>413</v>
      </c>
      <c r="K9" s="79" t="s">
        <v>30</v>
      </c>
      <c r="L9" s="79" t="s">
        <v>30</v>
      </c>
      <c r="M9" s="79" t="s">
        <v>30</v>
      </c>
      <c r="N9" s="82">
        <v>155.18</v>
      </c>
      <c r="O9" s="79" t="s">
        <v>134</v>
      </c>
      <c r="P9" s="1"/>
      <c r="Q9" s="1"/>
      <c r="S9" s="2">
        <v>1</v>
      </c>
      <c r="T9" s="2">
        <v>2</v>
      </c>
      <c r="U9" s="324"/>
      <c r="V9" s="2" t="s">
        <v>39</v>
      </c>
      <c r="W9" s="2" t="s">
        <v>413</v>
      </c>
      <c r="X9" s="40" t="s">
        <v>132</v>
      </c>
      <c r="AB9" s="58">
        <v>155.18</v>
      </c>
      <c r="AC9" s="36" t="s">
        <v>134</v>
      </c>
    </row>
    <row r="10" spans="1:30">
      <c r="A10" s="322" t="s">
        <v>144</v>
      </c>
      <c r="B10" s="321" t="s">
        <v>414</v>
      </c>
      <c r="C10" s="79" t="s">
        <v>415</v>
      </c>
      <c r="D10" s="322" t="s">
        <v>416</v>
      </c>
      <c r="E10" s="322" t="s">
        <v>417</v>
      </c>
      <c r="F10" s="79">
        <v>1</v>
      </c>
      <c r="G10" s="79">
        <v>2</v>
      </c>
      <c r="H10" s="79">
        <v>2</v>
      </c>
      <c r="I10" s="322" t="s">
        <v>30</v>
      </c>
      <c r="J10" s="322" t="s">
        <v>30</v>
      </c>
      <c r="K10" s="322" t="s">
        <v>30</v>
      </c>
      <c r="L10" s="322" t="s">
        <v>30</v>
      </c>
      <c r="M10" s="322" t="s">
        <v>30</v>
      </c>
      <c r="N10" s="322" t="s">
        <v>30</v>
      </c>
      <c r="O10" s="322"/>
      <c r="P10" s="24"/>
      <c r="Q10" s="24"/>
      <c r="S10" s="24">
        <v>2</v>
      </c>
      <c r="T10" s="24">
        <v>3</v>
      </c>
      <c r="U10" s="324" t="s">
        <v>144</v>
      </c>
      <c r="V10" s="24" t="s">
        <v>418</v>
      </c>
      <c r="W10" s="49"/>
      <c r="X10" s="24"/>
      <c r="Y10" s="24"/>
      <c r="Z10" s="24"/>
      <c r="AA10" s="24"/>
      <c r="AB10" s="24"/>
      <c r="AC10" s="24"/>
      <c r="AD10" s="24"/>
    </row>
    <row r="11" spans="1:30" ht="102" customHeight="1">
      <c r="A11" s="322"/>
      <c r="B11" s="321"/>
      <c r="C11" s="79" t="s">
        <v>419</v>
      </c>
      <c r="D11" s="322"/>
      <c r="E11" s="322"/>
      <c r="F11" s="79">
        <v>2</v>
      </c>
      <c r="G11" s="79">
        <v>1</v>
      </c>
      <c r="H11" s="79">
        <v>2</v>
      </c>
      <c r="I11" s="322"/>
      <c r="J11" s="322"/>
      <c r="K11" s="322"/>
      <c r="L11" s="322"/>
      <c r="M11" s="322"/>
      <c r="N11" s="322"/>
      <c r="O11" s="322"/>
      <c r="P11" s="24"/>
      <c r="Q11" s="24"/>
      <c r="S11" s="24">
        <v>2</v>
      </c>
      <c r="T11" s="24">
        <v>3</v>
      </c>
      <c r="U11" s="324"/>
      <c r="V11" s="24" t="s">
        <v>418</v>
      </c>
      <c r="W11" s="49"/>
      <c r="X11" s="24"/>
      <c r="Y11" s="24"/>
      <c r="Z11" s="24"/>
      <c r="AA11" s="24"/>
      <c r="AB11" s="24"/>
      <c r="AC11" s="24"/>
      <c r="AD11" s="24"/>
    </row>
    <row r="12" spans="1:30" ht="60">
      <c r="A12" s="322"/>
      <c r="B12" s="321"/>
      <c r="C12" s="79" t="s">
        <v>420</v>
      </c>
      <c r="D12" s="79" t="s">
        <v>421</v>
      </c>
      <c r="E12" s="79" t="s">
        <v>422</v>
      </c>
      <c r="F12" s="79">
        <v>3</v>
      </c>
      <c r="G12" s="79">
        <v>1</v>
      </c>
      <c r="H12" s="79">
        <v>2</v>
      </c>
      <c r="I12" s="79"/>
      <c r="J12" s="79"/>
      <c r="K12" s="79"/>
      <c r="L12" s="79"/>
      <c r="M12" s="79"/>
      <c r="N12" s="79"/>
      <c r="O12" s="79"/>
      <c r="P12" s="24"/>
      <c r="Q12" s="24"/>
      <c r="S12" s="24"/>
      <c r="T12" s="24"/>
      <c r="U12" s="324"/>
      <c r="V12" s="24"/>
      <c r="W12" s="49"/>
      <c r="X12" s="24"/>
      <c r="Y12" s="24"/>
      <c r="Z12" s="24"/>
      <c r="AA12" s="24"/>
      <c r="AB12" s="24"/>
      <c r="AC12" s="24"/>
      <c r="AD12" s="24"/>
    </row>
    <row r="13" spans="1:30" ht="75">
      <c r="A13" s="322"/>
      <c r="B13" s="321"/>
      <c r="C13" s="79" t="s">
        <v>79</v>
      </c>
      <c r="D13" s="79" t="s">
        <v>80</v>
      </c>
      <c r="E13" s="79" t="s">
        <v>423</v>
      </c>
      <c r="F13" s="79">
        <v>1</v>
      </c>
      <c r="G13" s="79">
        <v>0</v>
      </c>
      <c r="H13" s="79">
        <v>1</v>
      </c>
      <c r="I13" s="98" t="s">
        <v>424</v>
      </c>
      <c r="J13" s="79" t="s">
        <v>142</v>
      </c>
      <c r="K13" s="88" t="s">
        <v>425</v>
      </c>
      <c r="L13" s="79" t="s">
        <v>82</v>
      </c>
      <c r="M13" s="79" t="s">
        <v>82</v>
      </c>
      <c r="N13" s="79">
        <v>1700</v>
      </c>
      <c r="O13" s="79"/>
      <c r="P13" s="24"/>
      <c r="Q13" s="24"/>
      <c r="S13" s="24"/>
      <c r="T13" s="24"/>
      <c r="U13" s="324"/>
      <c r="V13" s="24"/>
      <c r="W13" s="49"/>
      <c r="X13" s="24"/>
      <c r="Y13" s="24"/>
      <c r="Z13" s="24"/>
      <c r="AA13" s="24"/>
      <c r="AB13" s="24"/>
      <c r="AC13" s="24"/>
      <c r="AD13" s="24"/>
    </row>
    <row r="14" spans="1:30" s="24" customFormat="1" ht="45">
      <c r="A14" s="322"/>
      <c r="B14" s="322" t="s">
        <v>426</v>
      </c>
      <c r="C14" s="322" t="s">
        <v>427</v>
      </c>
      <c r="D14" s="322" t="s">
        <v>147</v>
      </c>
      <c r="E14" s="322" t="s">
        <v>148</v>
      </c>
      <c r="F14" s="322">
        <v>1</v>
      </c>
      <c r="G14" s="322">
        <v>2</v>
      </c>
      <c r="H14" s="322">
        <v>3</v>
      </c>
      <c r="I14" s="79" t="s">
        <v>428</v>
      </c>
      <c r="J14" s="79" t="s">
        <v>429</v>
      </c>
      <c r="K14" s="79" t="s">
        <v>31</v>
      </c>
      <c r="L14" s="79" t="s">
        <v>31</v>
      </c>
      <c r="M14" s="79" t="s">
        <v>31</v>
      </c>
      <c r="N14" s="79" t="s">
        <v>31</v>
      </c>
      <c r="O14" s="79" t="s">
        <v>430</v>
      </c>
      <c r="P14" s="332"/>
      <c r="Q14" s="49"/>
      <c r="S14" s="291">
        <v>2</v>
      </c>
      <c r="T14" s="291">
        <v>3</v>
      </c>
      <c r="U14" s="324"/>
      <c r="V14" s="24" t="s">
        <v>39</v>
      </c>
      <c r="W14" s="49" t="s">
        <v>429</v>
      </c>
      <c r="AC14" s="49" t="s">
        <v>430</v>
      </c>
    </row>
    <row r="15" spans="1:30" s="24" customFormat="1" ht="91.5" customHeight="1">
      <c r="A15" s="322"/>
      <c r="B15" s="322"/>
      <c r="C15" s="322"/>
      <c r="D15" s="322"/>
      <c r="E15" s="322"/>
      <c r="F15" s="322"/>
      <c r="G15" s="322"/>
      <c r="H15" s="322"/>
      <c r="I15" s="80" t="s">
        <v>431</v>
      </c>
      <c r="J15" s="79" t="s">
        <v>432</v>
      </c>
      <c r="K15" s="79" t="s">
        <v>31</v>
      </c>
      <c r="L15" s="79" t="s">
        <v>31</v>
      </c>
      <c r="M15" s="79" t="s">
        <v>31</v>
      </c>
      <c r="N15" s="79" t="s">
        <v>31</v>
      </c>
      <c r="O15" s="79"/>
      <c r="P15" s="332"/>
      <c r="Q15" s="59"/>
      <c r="S15" s="291"/>
      <c r="T15" s="291"/>
      <c r="U15" s="324"/>
      <c r="V15" s="24" t="s">
        <v>39</v>
      </c>
      <c r="W15" s="49" t="s">
        <v>432</v>
      </c>
      <c r="X15" s="30" t="s">
        <v>431</v>
      </c>
    </row>
    <row r="16" spans="1:30" s="24" customFormat="1" ht="76.5" customHeight="1">
      <c r="A16" s="322"/>
      <c r="B16" s="322"/>
      <c r="C16" s="322"/>
      <c r="D16" s="322"/>
      <c r="E16" s="322"/>
      <c r="F16" s="322"/>
      <c r="G16" s="322"/>
      <c r="H16" s="322"/>
      <c r="I16" s="80" t="s">
        <v>433</v>
      </c>
      <c r="J16" s="322" t="s">
        <v>434</v>
      </c>
      <c r="K16" s="79" t="s">
        <v>31</v>
      </c>
      <c r="L16" s="79" t="s">
        <v>31</v>
      </c>
      <c r="M16" s="79" t="s">
        <v>31</v>
      </c>
      <c r="N16" s="82">
        <v>1325</v>
      </c>
      <c r="O16" s="79" t="s">
        <v>435</v>
      </c>
      <c r="P16" s="332"/>
      <c r="Q16" s="59"/>
      <c r="S16" s="291"/>
      <c r="T16" s="291"/>
      <c r="U16" s="324"/>
      <c r="V16" s="291" t="s">
        <v>39</v>
      </c>
      <c r="W16" s="298" t="s">
        <v>434</v>
      </c>
      <c r="X16" s="30" t="s">
        <v>433</v>
      </c>
      <c r="Z16" s="24" t="s">
        <v>436</v>
      </c>
      <c r="AB16" s="24">
        <v>1325</v>
      </c>
      <c r="AC16" s="49" t="s">
        <v>435</v>
      </c>
    </row>
    <row r="17" spans="1:31" s="24" customFormat="1" ht="91.5" customHeight="1">
      <c r="A17" s="322"/>
      <c r="B17" s="322"/>
      <c r="C17" s="322"/>
      <c r="D17" s="322"/>
      <c r="E17" s="322"/>
      <c r="F17" s="322"/>
      <c r="G17" s="322"/>
      <c r="H17" s="322"/>
      <c r="I17" s="80" t="s">
        <v>437</v>
      </c>
      <c r="J17" s="322"/>
      <c r="K17" s="79" t="s">
        <v>31</v>
      </c>
      <c r="L17" s="79" t="s">
        <v>31</v>
      </c>
      <c r="M17" s="79" t="s">
        <v>31</v>
      </c>
      <c r="N17" s="82">
        <v>175</v>
      </c>
      <c r="O17" s="79" t="s">
        <v>438</v>
      </c>
      <c r="P17" s="332"/>
      <c r="Q17" s="59"/>
      <c r="S17" s="291"/>
      <c r="T17" s="291"/>
      <c r="U17" s="324"/>
      <c r="V17" s="291"/>
      <c r="W17" s="298"/>
      <c r="X17" s="30" t="s">
        <v>437</v>
      </c>
      <c r="AB17" s="24">
        <v>175</v>
      </c>
      <c r="AC17" s="49" t="s">
        <v>438</v>
      </c>
    </row>
    <row r="18" spans="1:31" s="24" customFormat="1" ht="45">
      <c r="A18" s="322"/>
      <c r="B18" s="322"/>
      <c r="C18" s="79" t="s">
        <v>439</v>
      </c>
      <c r="D18" s="79" t="s">
        <v>440</v>
      </c>
      <c r="E18" s="79" t="s">
        <v>441</v>
      </c>
      <c r="F18" s="79">
        <v>2</v>
      </c>
      <c r="G18" s="79">
        <v>3</v>
      </c>
      <c r="H18" s="79">
        <v>3</v>
      </c>
      <c r="I18" s="80"/>
      <c r="J18" s="79" t="s">
        <v>442</v>
      </c>
      <c r="K18" s="79" t="s">
        <v>31</v>
      </c>
      <c r="L18" s="79" t="s">
        <v>31</v>
      </c>
      <c r="M18" s="79" t="s">
        <v>31</v>
      </c>
      <c r="N18" s="79" t="s">
        <v>31</v>
      </c>
      <c r="O18" s="79"/>
      <c r="P18" s="59"/>
      <c r="Q18" s="59"/>
      <c r="S18" s="24">
        <v>3</v>
      </c>
      <c r="T18" s="24">
        <v>3</v>
      </c>
      <c r="U18" s="324"/>
      <c r="V18" s="24" t="s">
        <v>39</v>
      </c>
      <c r="W18" s="24" t="s">
        <v>442</v>
      </c>
      <c r="X18" s="30"/>
    </row>
    <row r="19" spans="1:31" s="24" customFormat="1" ht="66" customHeight="1">
      <c r="A19" s="322"/>
      <c r="B19" s="79" t="s">
        <v>443</v>
      </c>
      <c r="C19" s="79"/>
      <c r="D19" s="79"/>
      <c r="E19" s="79"/>
      <c r="F19" s="79"/>
      <c r="G19" s="79"/>
      <c r="H19" s="79"/>
      <c r="I19" s="79"/>
      <c r="J19" s="79"/>
      <c r="K19" s="79"/>
      <c r="L19" s="79"/>
      <c r="M19" s="79"/>
      <c r="N19" s="79"/>
      <c r="O19" s="79" t="s">
        <v>444</v>
      </c>
      <c r="P19" s="60"/>
      <c r="Q19" s="60"/>
      <c r="U19" s="324"/>
      <c r="AC19" s="24" t="s">
        <v>445</v>
      </c>
    </row>
    <row r="20" spans="1:31" ht="71.25" customHeight="1">
      <c r="A20" s="79" t="s">
        <v>344</v>
      </c>
      <c r="B20" s="79" t="s">
        <v>446</v>
      </c>
      <c r="C20" s="79" t="s">
        <v>245</v>
      </c>
      <c r="D20" s="79" t="s">
        <v>245</v>
      </c>
      <c r="E20" s="79" t="s">
        <v>246</v>
      </c>
      <c r="F20" s="79">
        <v>1</v>
      </c>
      <c r="G20" s="79"/>
      <c r="H20" s="79"/>
      <c r="I20" s="25" t="s">
        <v>247</v>
      </c>
      <c r="J20" t="s">
        <v>248</v>
      </c>
      <c r="K20" s="79">
        <v>4</v>
      </c>
      <c r="L20" s="79" t="s">
        <v>251</v>
      </c>
      <c r="M20" s="79" t="s">
        <v>30</v>
      </c>
      <c r="N20" s="79">
        <v>90.16</v>
      </c>
      <c r="O20" s="79"/>
      <c r="AC20" s="2" t="s">
        <v>447</v>
      </c>
    </row>
    <row r="21" spans="1:31" ht="137.25" customHeight="1">
      <c r="A21" s="322" t="s">
        <v>153</v>
      </c>
      <c r="B21" s="79" t="s">
        <v>154</v>
      </c>
      <c r="C21" s="79" t="s">
        <v>155</v>
      </c>
      <c r="D21" s="79" t="s">
        <v>156</v>
      </c>
      <c r="E21" s="79" t="s">
        <v>157</v>
      </c>
      <c r="F21" s="79">
        <v>1</v>
      </c>
      <c r="G21" s="79">
        <v>0</v>
      </c>
      <c r="H21" s="79">
        <v>1</v>
      </c>
      <c r="I21" s="80" t="s">
        <v>158</v>
      </c>
      <c r="J21" s="79" t="s">
        <v>159</v>
      </c>
      <c r="K21" s="79">
        <v>16</v>
      </c>
      <c r="L21" s="81">
        <v>46337</v>
      </c>
      <c r="M21" s="81">
        <v>46338</v>
      </c>
      <c r="N21" s="82">
        <v>1600</v>
      </c>
      <c r="O21" s="79" t="s">
        <v>448</v>
      </c>
      <c r="P21" s="54"/>
      <c r="Q21" s="54"/>
      <c r="S21" s="2">
        <v>0</v>
      </c>
      <c r="T21" s="2">
        <v>2</v>
      </c>
      <c r="U21" s="324" t="s">
        <v>449</v>
      </c>
      <c r="W21" s="36"/>
      <c r="X21" s="13"/>
      <c r="Y21" s="36" t="s">
        <v>450</v>
      </c>
      <c r="Z21" s="37">
        <v>46327</v>
      </c>
      <c r="AA21" s="37">
        <v>46338</v>
      </c>
      <c r="AB21" s="38" t="s">
        <v>451</v>
      </c>
      <c r="AC21" s="36" t="s">
        <v>448</v>
      </c>
    </row>
    <row r="22" spans="1:31" ht="90">
      <c r="A22" s="322"/>
      <c r="B22" s="79" t="s">
        <v>452</v>
      </c>
      <c r="C22" s="79" t="s">
        <v>162</v>
      </c>
      <c r="D22" s="79" t="s">
        <v>162</v>
      </c>
      <c r="E22" s="79" t="s">
        <v>163</v>
      </c>
      <c r="F22" s="79">
        <v>1</v>
      </c>
      <c r="G22" s="79">
        <v>0</v>
      </c>
      <c r="H22" s="79">
        <v>1</v>
      </c>
      <c r="I22" s="83" t="s">
        <v>164</v>
      </c>
      <c r="J22" s="79" t="s">
        <v>165</v>
      </c>
      <c r="K22" s="79">
        <v>5</v>
      </c>
      <c r="L22" s="79" t="s">
        <v>31</v>
      </c>
      <c r="M22" s="79" t="s">
        <v>31</v>
      </c>
      <c r="N22" s="82">
        <v>590</v>
      </c>
      <c r="O22" s="79"/>
      <c r="S22" s="2"/>
      <c r="T22" s="2"/>
      <c r="U22" s="324"/>
      <c r="X22" s="13"/>
      <c r="Z22" s="37"/>
      <c r="AA22" s="37"/>
      <c r="AB22" s="38"/>
      <c r="AC22" s="2"/>
    </row>
    <row r="23" spans="1:31" ht="79.5" customHeight="1">
      <c r="A23" s="322"/>
      <c r="B23" s="321" t="s">
        <v>453</v>
      </c>
      <c r="C23" s="321" t="s">
        <v>170</v>
      </c>
      <c r="D23" s="321" t="s">
        <v>454</v>
      </c>
      <c r="E23" s="321" t="s">
        <v>455</v>
      </c>
      <c r="F23" s="321">
        <v>1</v>
      </c>
      <c r="G23" s="321">
        <v>0</v>
      </c>
      <c r="H23" s="321">
        <v>1</v>
      </c>
      <c r="I23" s="80" t="s">
        <v>456</v>
      </c>
      <c r="J23" s="79" t="s">
        <v>159</v>
      </c>
      <c r="K23" s="79">
        <v>16</v>
      </c>
      <c r="L23" s="79" t="s">
        <v>457</v>
      </c>
      <c r="M23" s="79"/>
      <c r="N23" s="84">
        <v>1700</v>
      </c>
      <c r="O23" s="79"/>
      <c r="S23" s="287"/>
      <c r="T23" s="287"/>
      <c r="U23" s="324"/>
      <c r="V23" t="s">
        <v>39</v>
      </c>
      <c r="W23" s="36" t="s">
        <v>159</v>
      </c>
      <c r="X23" s="13" t="s">
        <v>456</v>
      </c>
      <c r="Y23">
        <v>16</v>
      </c>
      <c r="Z23" t="s">
        <v>458</v>
      </c>
      <c r="AB23" s="38">
        <v>1700</v>
      </c>
      <c r="AC23" s="36" t="s">
        <v>459</v>
      </c>
    </row>
    <row r="24" spans="1:31" s="194" customFormat="1" ht="54" customHeight="1">
      <c r="A24" s="322"/>
      <c r="B24" s="321"/>
      <c r="C24" s="321"/>
      <c r="D24" s="321"/>
      <c r="E24" s="321"/>
      <c r="F24" s="321"/>
      <c r="G24" s="321"/>
      <c r="H24" s="321"/>
      <c r="I24" s="189" t="s">
        <v>460</v>
      </c>
      <c r="J24" s="190" t="s">
        <v>217</v>
      </c>
      <c r="K24" s="190">
        <v>36</v>
      </c>
      <c r="L24" s="191" t="s">
        <v>175</v>
      </c>
      <c r="M24" s="191"/>
      <c r="N24" s="192">
        <v>2000</v>
      </c>
      <c r="O24" s="190" t="s">
        <v>461</v>
      </c>
      <c r="P24" s="193"/>
      <c r="Q24" s="193"/>
      <c r="S24" s="287"/>
      <c r="T24" s="287"/>
      <c r="U24" s="324"/>
      <c r="V24" s="194" t="s">
        <v>39</v>
      </c>
      <c r="W24" s="194" t="s">
        <v>217</v>
      </c>
      <c r="X24" s="195" t="s">
        <v>460</v>
      </c>
      <c r="Y24" s="194">
        <v>36</v>
      </c>
      <c r="Z24" s="196">
        <v>46127</v>
      </c>
      <c r="AA24" s="196">
        <v>46164</v>
      </c>
      <c r="AB24" s="197">
        <v>2000</v>
      </c>
      <c r="AC24" s="198" t="s">
        <v>462</v>
      </c>
    </row>
    <row r="25" spans="1:31" ht="58.5" customHeight="1">
      <c r="A25" s="322"/>
      <c r="B25" s="321"/>
      <c r="C25" s="321"/>
      <c r="D25" s="321"/>
      <c r="E25" s="321"/>
      <c r="F25" s="321"/>
      <c r="G25" s="321"/>
      <c r="H25" s="321"/>
      <c r="I25" s="104" t="s">
        <v>463</v>
      </c>
      <c r="J25" s="79" t="s">
        <v>464</v>
      </c>
      <c r="K25" s="85" t="s">
        <v>465</v>
      </c>
      <c r="L25" s="85" t="s">
        <v>465</v>
      </c>
      <c r="M25" s="85" t="s">
        <v>465</v>
      </c>
      <c r="N25" s="84">
        <v>1200</v>
      </c>
      <c r="O25" s="79" t="s">
        <v>466</v>
      </c>
      <c r="S25" s="287"/>
      <c r="T25" s="287"/>
      <c r="U25" s="324"/>
      <c r="V25" t="s">
        <v>39</v>
      </c>
      <c r="W25" t="s">
        <v>464</v>
      </c>
      <c r="X25" s="13" t="s">
        <v>463</v>
      </c>
      <c r="Y25" s="61"/>
      <c r="AB25" s="38">
        <v>1200</v>
      </c>
      <c r="AC25" s="36" t="s">
        <v>467</v>
      </c>
    </row>
    <row r="26" spans="1:31" ht="58.5" customHeight="1">
      <c r="A26" s="79"/>
      <c r="B26" s="321"/>
      <c r="C26" s="321"/>
      <c r="D26" s="321"/>
      <c r="E26" s="321"/>
      <c r="F26" s="321"/>
      <c r="G26" s="321"/>
      <c r="H26" s="321"/>
      <c r="I26" s="104" t="s">
        <v>468</v>
      </c>
      <c r="J26" s="79" t="s">
        <v>469</v>
      </c>
      <c r="K26" s="85"/>
      <c r="L26" s="85"/>
      <c r="M26" s="85"/>
      <c r="N26" s="84"/>
      <c r="O26" s="79" t="s">
        <v>470</v>
      </c>
      <c r="S26" s="2"/>
      <c r="T26" s="2"/>
      <c r="U26" s="34"/>
      <c r="X26" s="13"/>
      <c r="Y26" s="61"/>
      <c r="AB26" s="38"/>
      <c r="AC26" s="36"/>
    </row>
    <row r="27" spans="1:31" ht="75">
      <c r="A27" s="79"/>
      <c r="B27" s="321"/>
      <c r="C27" s="321"/>
      <c r="D27" s="321"/>
      <c r="E27" s="321"/>
      <c r="F27" s="321"/>
      <c r="G27" s="321"/>
      <c r="H27" s="321"/>
      <c r="I27" s="221" t="s">
        <v>471</v>
      </c>
      <c r="J27" s="131" t="s">
        <v>472</v>
      </c>
      <c r="K27" s="222">
        <v>73</v>
      </c>
      <c r="L27" s="143">
        <v>46289</v>
      </c>
      <c r="M27" s="143">
        <v>719.69230769230774</v>
      </c>
      <c r="N27" s="223">
        <v>2800</v>
      </c>
      <c r="O27" s="224" t="s">
        <v>473</v>
      </c>
      <c r="S27" s="2"/>
      <c r="T27" s="2"/>
      <c r="U27" s="34"/>
      <c r="X27" s="13"/>
      <c r="Y27" s="61"/>
      <c r="AB27" s="38"/>
      <c r="AC27" s="36"/>
    </row>
    <row r="28" spans="1:31" s="194" customFormat="1" ht="58.5" customHeight="1">
      <c r="A28" s="190"/>
      <c r="B28" s="321"/>
      <c r="C28" s="321"/>
      <c r="D28" s="321"/>
      <c r="E28" s="321"/>
      <c r="F28" s="321"/>
      <c r="G28" s="321"/>
      <c r="H28" s="321"/>
      <c r="I28" s="189" t="s">
        <v>474</v>
      </c>
      <c r="J28" s="190" t="s">
        <v>217</v>
      </c>
      <c r="K28" s="200">
        <v>3</v>
      </c>
      <c r="L28" s="200" t="s">
        <v>475</v>
      </c>
      <c r="M28" s="200"/>
      <c r="N28" s="192">
        <v>99</v>
      </c>
      <c r="O28" s="190" t="s">
        <v>476</v>
      </c>
      <c r="P28" s="193"/>
      <c r="Q28" s="193"/>
      <c r="S28" s="198"/>
      <c r="T28" s="198"/>
      <c r="U28" s="201"/>
      <c r="X28" s="195"/>
      <c r="Y28" s="202"/>
      <c r="AB28" s="197"/>
      <c r="AC28" s="203"/>
    </row>
    <row r="29" spans="1:31" ht="113.25" customHeight="1">
      <c r="A29" s="322" t="s">
        <v>178</v>
      </c>
      <c r="B29" s="322" t="s">
        <v>477</v>
      </c>
      <c r="C29" s="86" t="s">
        <v>478</v>
      </c>
      <c r="D29" s="86" t="s">
        <v>479</v>
      </c>
      <c r="E29" s="86" t="s">
        <v>480</v>
      </c>
      <c r="F29" s="79">
        <v>2</v>
      </c>
      <c r="G29" s="79">
        <v>2</v>
      </c>
      <c r="H29" s="79">
        <v>3</v>
      </c>
      <c r="I29" s="87" t="s">
        <v>342</v>
      </c>
      <c r="J29" s="79" t="s">
        <v>481</v>
      </c>
      <c r="K29" s="79" t="s">
        <v>482</v>
      </c>
      <c r="L29" s="79" t="s">
        <v>30</v>
      </c>
      <c r="M29" s="79" t="s">
        <v>30</v>
      </c>
      <c r="N29" s="62" t="s">
        <v>483</v>
      </c>
      <c r="O29" s="79" t="s">
        <v>48</v>
      </c>
      <c r="P29" s="63"/>
      <c r="Q29" s="63"/>
      <c r="S29" s="2">
        <v>2</v>
      </c>
      <c r="T29" s="2">
        <v>3</v>
      </c>
      <c r="U29" s="336" t="s">
        <v>484</v>
      </c>
      <c r="V29" t="s">
        <v>39</v>
      </c>
      <c r="W29" t="s">
        <v>481</v>
      </c>
      <c r="X29" s="64" t="s">
        <v>342</v>
      </c>
      <c r="AC29" s="2" t="s">
        <v>485</v>
      </c>
    </row>
    <row r="30" spans="1:31" ht="95.25" customHeight="1">
      <c r="A30" s="322"/>
      <c r="B30" s="322"/>
      <c r="C30" s="333" t="s">
        <v>486</v>
      </c>
      <c r="D30" s="105" t="s">
        <v>487</v>
      </c>
      <c r="E30" s="333" t="s">
        <v>488</v>
      </c>
      <c r="F30" s="322">
        <v>1</v>
      </c>
      <c r="G30" s="322">
        <v>1</v>
      </c>
      <c r="H30" s="322">
        <v>3</v>
      </c>
      <c r="I30" s="25" t="s">
        <v>489</v>
      </c>
      <c r="J30" s="79" t="s">
        <v>183</v>
      </c>
      <c r="K30" s="79" t="s">
        <v>490</v>
      </c>
      <c r="L30" s="79" t="s">
        <v>491</v>
      </c>
      <c r="M30" s="79"/>
      <c r="N30" t="s">
        <v>492</v>
      </c>
      <c r="O30" s="79"/>
      <c r="P30" s="63" t="s">
        <v>493</v>
      </c>
      <c r="Q30" s="63"/>
      <c r="S30" s="2">
        <v>1</v>
      </c>
      <c r="T30" s="2">
        <v>3</v>
      </c>
      <c r="U30" s="336"/>
      <c r="V30" t="s">
        <v>39</v>
      </c>
      <c r="W30" t="s">
        <v>183</v>
      </c>
      <c r="X30" s="64" t="s">
        <v>494</v>
      </c>
      <c r="AC30" s="36" t="s">
        <v>495</v>
      </c>
      <c r="AE30" s="5"/>
    </row>
    <row r="31" spans="1:31" ht="95.25" customHeight="1">
      <c r="A31" s="322"/>
      <c r="B31" s="322"/>
      <c r="C31" s="333"/>
      <c r="D31" s="97" t="s">
        <v>496</v>
      </c>
      <c r="E31" s="333"/>
      <c r="F31" s="322"/>
      <c r="G31" s="322"/>
      <c r="H31" s="322"/>
      <c r="I31" s="80" t="s">
        <v>497</v>
      </c>
      <c r="J31" s="79" t="s">
        <v>498</v>
      </c>
      <c r="K31" s="79" t="s">
        <v>499</v>
      </c>
      <c r="L31" s="88">
        <v>46169</v>
      </c>
      <c r="M31" s="88">
        <v>46221</v>
      </c>
      <c r="N31" s="84">
        <v>3290</v>
      </c>
      <c r="O31" s="79" t="s">
        <v>500</v>
      </c>
      <c r="P31" s="63"/>
      <c r="Q31" s="63"/>
      <c r="S31" s="2"/>
      <c r="T31" s="2"/>
      <c r="U31" s="336"/>
      <c r="X31" s="64"/>
      <c r="AC31" s="36"/>
      <c r="AE31" s="5"/>
    </row>
    <row r="32" spans="1:31" ht="45">
      <c r="A32" s="322"/>
      <c r="B32" s="322" t="s">
        <v>184</v>
      </c>
      <c r="C32" s="333" t="s">
        <v>185</v>
      </c>
      <c r="D32" s="105" t="s">
        <v>501</v>
      </c>
      <c r="E32" s="333" t="s">
        <v>187</v>
      </c>
      <c r="F32" s="322">
        <v>1</v>
      </c>
      <c r="G32" s="322">
        <v>1</v>
      </c>
      <c r="H32" s="322">
        <v>3</v>
      </c>
      <c r="I32" s="80" t="s">
        <v>188</v>
      </c>
      <c r="J32" s="79" t="s">
        <v>189</v>
      </c>
      <c r="K32" s="79">
        <v>35</v>
      </c>
      <c r="L32" s="79" t="s">
        <v>502</v>
      </c>
      <c r="M32" s="79" t="s">
        <v>502</v>
      </c>
      <c r="N32" s="84">
        <v>500</v>
      </c>
      <c r="O32" s="79" t="s">
        <v>503</v>
      </c>
      <c r="P32" s="328" t="s">
        <v>504</v>
      </c>
      <c r="Q32" s="65"/>
      <c r="S32" s="287">
        <v>1</v>
      </c>
      <c r="T32" s="287">
        <v>3</v>
      </c>
      <c r="U32" s="336"/>
      <c r="V32" t="s">
        <v>39</v>
      </c>
      <c r="W32" t="s">
        <v>189</v>
      </c>
      <c r="X32" s="13" t="s">
        <v>188</v>
      </c>
      <c r="Y32">
        <v>35</v>
      </c>
      <c r="AB32" s="38">
        <v>500</v>
      </c>
      <c r="AC32" s="2" t="s">
        <v>503</v>
      </c>
    </row>
    <row r="33" spans="1:29" ht="180.75" customHeight="1">
      <c r="A33" s="322"/>
      <c r="B33" s="322"/>
      <c r="C33" s="333"/>
      <c r="D33" s="97" t="s">
        <v>505</v>
      </c>
      <c r="E33" s="333"/>
      <c r="F33" s="322"/>
      <c r="G33" s="322"/>
      <c r="H33" s="322"/>
      <c r="I33" s="80" t="s">
        <v>506</v>
      </c>
      <c r="J33" s="79" t="s">
        <v>498</v>
      </c>
      <c r="K33" s="79" t="s">
        <v>507</v>
      </c>
      <c r="L33" s="79" t="s">
        <v>502</v>
      </c>
      <c r="M33" s="79" t="s">
        <v>502</v>
      </c>
      <c r="N33" s="84">
        <v>3281</v>
      </c>
      <c r="O33" s="79" t="s">
        <v>508</v>
      </c>
      <c r="P33" s="329"/>
      <c r="Q33" s="66"/>
      <c r="S33" s="287"/>
      <c r="T33" s="287"/>
      <c r="U33" s="336"/>
      <c r="V33" t="s">
        <v>39</v>
      </c>
      <c r="W33" t="s">
        <v>498</v>
      </c>
      <c r="X33" s="13" t="s">
        <v>506</v>
      </c>
      <c r="AB33" s="38">
        <v>3281</v>
      </c>
      <c r="AC33" s="36" t="s">
        <v>509</v>
      </c>
    </row>
    <row r="34" spans="1:29" ht="45.75" customHeight="1">
      <c r="A34" s="322"/>
      <c r="B34" s="322" t="s">
        <v>191</v>
      </c>
      <c r="C34" s="334" t="s">
        <v>192</v>
      </c>
      <c r="D34" s="86" t="s">
        <v>510</v>
      </c>
      <c r="E34" s="333" t="s">
        <v>194</v>
      </c>
      <c r="F34" s="322">
        <v>2</v>
      </c>
      <c r="G34" s="322">
        <v>1</v>
      </c>
      <c r="H34" s="322">
        <v>3</v>
      </c>
      <c r="I34" s="87" t="s">
        <v>511</v>
      </c>
      <c r="J34" s="79" t="s">
        <v>481</v>
      </c>
      <c r="K34" s="79" t="s">
        <v>512</v>
      </c>
      <c r="L34" s="79" t="s">
        <v>30</v>
      </c>
      <c r="M34" s="79" t="s">
        <v>30</v>
      </c>
      <c r="N34" s="79" t="s">
        <v>483</v>
      </c>
      <c r="O34" s="79" t="s">
        <v>48</v>
      </c>
      <c r="P34" s="328" t="s">
        <v>513</v>
      </c>
      <c r="Q34" s="65"/>
      <c r="S34" s="2">
        <v>1</v>
      </c>
      <c r="T34" s="2">
        <v>3</v>
      </c>
      <c r="U34" s="336"/>
      <c r="V34" t="s">
        <v>39</v>
      </c>
      <c r="W34" t="s">
        <v>481</v>
      </c>
      <c r="X34" s="64" t="s">
        <v>511</v>
      </c>
      <c r="AC34" s="2" t="s">
        <v>485</v>
      </c>
    </row>
    <row r="35" spans="1:29" ht="67.5" customHeight="1">
      <c r="A35" s="322"/>
      <c r="B35" s="322"/>
      <c r="C35" s="334"/>
      <c r="D35" s="86" t="s">
        <v>514</v>
      </c>
      <c r="E35" s="333"/>
      <c r="F35" s="322"/>
      <c r="G35" s="322"/>
      <c r="H35" s="322"/>
      <c r="I35" s="80" t="s">
        <v>515</v>
      </c>
      <c r="J35" s="79" t="s">
        <v>165</v>
      </c>
      <c r="K35" s="79" t="s">
        <v>31</v>
      </c>
      <c r="L35" s="79" t="s">
        <v>31</v>
      </c>
      <c r="M35" s="79" t="s">
        <v>31</v>
      </c>
      <c r="N35" s="79" t="s">
        <v>31</v>
      </c>
      <c r="O35" s="79" t="s">
        <v>516</v>
      </c>
      <c r="P35" s="328"/>
      <c r="Q35" s="65"/>
      <c r="S35" s="2"/>
      <c r="T35" s="2"/>
      <c r="U35" s="336"/>
      <c r="X35" s="64"/>
      <c r="AC35" s="2"/>
    </row>
    <row r="36" spans="1:29" ht="67.5" customHeight="1">
      <c r="A36" s="322"/>
      <c r="B36" s="322"/>
      <c r="C36" s="334"/>
      <c r="D36" s="105" t="s">
        <v>193</v>
      </c>
      <c r="E36" s="333"/>
      <c r="F36" s="79">
        <v>1</v>
      </c>
      <c r="G36" s="79"/>
      <c r="H36" s="79"/>
      <c r="I36" s="104" t="s">
        <v>517</v>
      </c>
      <c r="J36" s="79" t="s">
        <v>518</v>
      </c>
      <c r="K36" s="79" t="s">
        <v>519</v>
      </c>
      <c r="L36" s="81">
        <v>46157</v>
      </c>
      <c r="M36" s="81">
        <v>46179</v>
      </c>
      <c r="N36" s="79">
        <v>1190</v>
      </c>
      <c r="O36" s="79" t="s">
        <v>520</v>
      </c>
      <c r="P36" s="328"/>
      <c r="Q36" s="65"/>
      <c r="S36" s="2"/>
      <c r="T36" s="2"/>
      <c r="U36" s="336"/>
      <c r="X36" s="64"/>
      <c r="AC36" s="2"/>
    </row>
    <row r="37" spans="1:29" ht="67.5" customHeight="1">
      <c r="A37" s="322"/>
      <c r="B37" s="322"/>
      <c r="C37" s="334"/>
      <c r="D37" s="105" t="s">
        <v>521</v>
      </c>
      <c r="E37" s="333"/>
      <c r="F37" s="79">
        <v>1</v>
      </c>
      <c r="G37" s="79"/>
      <c r="H37" s="79"/>
      <c r="I37" s="104" t="s">
        <v>522</v>
      </c>
      <c r="J37" s="79" t="s">
        <v>518</v>
      </c>
      <c r="K37" s="79" t="s">
        <v>523</v>
      </c>
      <c r="L37" s="81">
        <v>46178</v>
      </c>
      <c r="M37" s="81">
        <v>46207</v>
      </c>
      <c r="N37" s="81">
        <v>990</v>
      </c>
      <c r="O37" s="79" t="s">
        <v>520</v>
      </c>
      <c r="P37" s="328"/>
      <c r="Q37" s="65"/>
      <c r="S37" s="2"/>
      <c r="T37" s="2"/>
      <c r="U37" s="336"/>
      <c r="X37" s="64"/>
      <c r="AC37" s="2"/>
    </row>
    <row r="38" spans="1:29" ht="60">
      <c r="A38" s="322"/>
      <c r="B38" s="322"/>
      <c r="C38" s="86" t="s">
        <v>524</v>
      </c>
      <c r="D38" s="86" t="s">
        <v>525</v>
      </c>
      <c r="E38" s="333"/>
      <c r="F38" s="79">
        <v>1</v>
      </c>
      <c r="G38" s="79">
        <v>2</v>
      </c>
      <c r="H38" s="79">
        <v>3</v>
      </c>
      <c r="I38" s="87" t="s">
        <v>342</v>
      </c>
      <c r="J38" s="79" t="s">
        <v>481</v>
      </c>
      <c r="K38" s="79" t="s">
        <v>526</v>
      </c>
      <c r="L38" s="79" t="s">
        <v>30</v>
      </c>
      <c r="M38" s="79" t="s">
        <v>30</v>
      </c>
      <c r="N38" s="79" t="s">
        <v>483</v>
      </c>
      <c r="O38" s="79" t="s">
        <v>48</v>
      </c>
      <c r="P38" s="328"/>
      <c r="Q38" s="65"/>
      <c r="S38" s="2">
        <v>2</v>
      </c>
      <c r="T38" s="2">
        <v>3</v>
      </c>
      <c r="U38" s="336"/>
      <c r="V38" t="s">
        <v>39</v>
      </c>
      <c r="W38" t="s">
        <v>481</v>
      </c>
      <c r="X38" s="64" t="s">
        <v>342</v>
      </c>
      <c r="AC38" s="2" t="s">
        <v>485</v>
      </c>
    </row>
    <row r="39" spans="1:29" ht="96.75" customHeight="1">
      <c r="A39" s="322"/>
      <c r="B39" s="322" t="s">
        <v>527</v>
      </c>
      <c r="C39" s="333" t="s">
        <v>528</v>
      </c>
      <c r="D39" s="86" t="s">
        <v>529</v>
      </c>
      <c r="E39" s="333" t="s">
        <v>530</v>
      </c>
      <c r="F39" s="322">
        <v>2</v>
      </c>
      <c r="G39" s="322">
        <v>1</v>
      </c>
      <c r="H39" s="322">
        <v>3</v>
      </c>
      <c r="I39" s="87" t="s">
        <v>531</v>
      </c>
      <c r="J39" s="79" t="s">
        <v>183</v>
      </c>
      <c r="K39" s="79" t="s">
        <v>532</v>
      </c>
      <c r="L39" s="79" t="s">
        <v>30</v>
      </c>
      <c r="M39" s="79" t="s">
        <v>30</v>
      </c>
      <c r="N39" s="79" t="s">
        <v>533</v>
      </c>
      <c r="O39" s="79"/>
      <c r="P39" s="328"/>
      <c r="Q39" s="65"/>
      <c r="S39">
        <v>1</v>
      </c>
      <c r="T39">
        <v>3</v>
      </c>
      <c r="U39" s="336"/>
      <c r="V39" t="s">
        <v>39</v>
      </c>
      <c r="W39" t="s">
        <v>183</v>
      </c>
      <c r="X39" s="64" t="s">
        <v>531</v>
      </c>
      <c r="AC39" t="s">
        <v>534</v>
      </c>
    </row>
    <row r="40" spans="1:29" ht="169.5" customHeight="1">
      <c r="A40" s="322"/>
      <c r="B40" s="322"/>
      <c r="C40" s="333"/>
      <c r="D40" s="96" t="s">
        <v>535</v>
      </c>
      <c r="E40" s="333"/>
      <c r="F40" s="322"/>
      <c r="G40" s="322"/>
      <c r="H40" s="322"/>
      <c r="I40" s="80" t="s">
        <v>536</v>
      </c>
      <c r="J40" s="79" t="s">
        <v>498</v>
      </c>
      <c r="K40" s="79" t="s">
        <v>537</v>
      </c>
      <c r="L40" s="88">
        <v>46156</v>
      </c>
      <c r="M40" s="88">
        <v>46219</v>
      </c>
      <c r="N40" s="84">
        <v>1990</v>
      </c>
      <c r="O40" s="79" t="s">
        <v>538</v>
      </c>
      <c r="P40" s="65"/>
      <c r="Q40" s="65"/>
      <c r="U40" s="35"/>
      <c r="X40" s="64"/>
    </row>
    <row r="41" spans="1:29" ht="60.75" customHeight="1">
      <c r="A41" s="322" t="s">
        <v>539</v>
      </c>
      <c r="B41" s="79" t="s">
        <v>540</v>
      </c>
      <c r="C41" s="79" t="s">
        <v>541</v>
      </c>
      <c r="D41" s="79" t="s">
        <v>390</v>
      </c>
      <c r="E41" s="322" t="s">
        <v>542</v>
      </c>
      <c r="F41" s="79">
        <v>2</v>
      </c>
      <c r="G41" s="79">
        <v>2</v>
      </c>
      <c r="H41" s="79">
        <v>2</v>
      </c>
      <c r="I41" s="79" t="s">
        <v>390</v>
      </c>
      <c r="J41" s="79" t="s">
        <v>390</v>
      </c>
      <c r="K41" s="79" t="s">
        <v>390</v>
      </c>
      <c r="L41" s="79" t="s">
        <v>390</v>
      </c>
      <c r="M41" s="79" t="s">
        <v>390</v>
      </c>
      <c r="N41" s="79" t="s">
        <v>390</v>
      </c>
      <c r="O41" s="322" t="s">
        <v>543</v>
      </c>
      <c r="P41" s="54"/>
      <c r="Q41" s="54"/>
      <c r="S41">
        <v>2</v>
      </c>
      <c r="T41">
        <v>2</v>
      </c>
      <c r="U41" s="324" t="s">
        <v>544</v>
      </c>
      <c r="V41" t="s">
        <v>39</v>
      </c>
      <c r="X41" s="1"/>
      <c r="AC41" s="335" t="s">
        <v>543</v>
      </c>
    </row>
    <row r="42" spans="1:29" ht="60.75" customHeight="1">
      <c r="A42" s="322"/>
      <c r="B42" s="79" t="s">
        <v>545</v>
      </c>
      <c r="C42" s="79" t="s">
        <v>541</v>
      </c>
      <c r="D42" s="79" t="s">
        <v>390</v>
      </c>
      <c r="E42" s="322"/>
      <c r="F42" s="79">
        <v>2</v>
      </c>
      <c r="G42" s="79">
        <v>2</v>
      </c>
      <c r="H42" s="79">
        <v>2</v>
      </c>
      <c r="I42" s="79" t="s">
        <v>390</v>
      </c>
      <c r="J42" s="79" t="s">
        <v>390</v>
      </c>
      <c r="K42" s="79" t="s">
        <v>390</v>
      </c>
      <c r="L42" s="79" t="s">
        <v>390</v>
      </c>
      <c r="M42" s="79" t="s">
        <v>390</v>
      </c>
      <c r="N42" s="79" t="s">
        <v>390</v>
      </c>
      <c r="O42" s="322"/>
      <c r="P42" s="54"/>
      <c r="Q42" s="54"/>
      <c r="S42">
        <v>2</v>
      </c>
      <c r="T42">
        <v>2</v>
      </c>
      <c r="U42" s="324"/>
      <c r="V42" t="s">
        <v>39</v>
      </c>
      <c r="X42" s="1"/>
      <c r="AC42" s="335"/>
    </row>
    <row r="43" spans="1:29" ht="45">
      <c r="A43" s="322"/>
      <c r="B43" s="79" t="s">
        <v>540</v>
      </c>
      <c r="C43" s="79" t="s">
        <v>546</v>
      </c>
      <c r="D43" s="79" t="s">
        <v>390</v>
      </c>
      <c r="E43" s="322" t="s">
        <v>547</v>
      </c>
      <c r="F43" s="79">
        <v>1</v>
      </c>
      <c r="G43" s="79">
        <v>2</v>
      </c>
      <c r="H43" s="79">
        <v>3</v>
      </c>
      <c r="I43" s="79" t="s">
        <v>390</v>
      </c>
      <c r="J43" s="79" t="s">
        <v>390</v>
      </c>
      <c r="K43" s="79" t="s">
        <v>390</v>
      </c>
      <c r="L43" s="79" t="s">
        <v>390</v>
      </c>
      <c r="M43" s="79" t="s">
        <v>390</v>
      </c>
      <c r="N43" s="79" t="s">
        <v>390</v>
      </c>
      <c r="O43" s="322"/>
      <c r="S43">
        <v>2</v>
      </c>
      <c r="T43">
        <v>3</v>
      </c>
      <c r="U43" s="324"/>
      <c r="X43" s="1"/>
    </row>
    <row r="44" spans="1:29" ht="78.75" customHeight="1">
      <c r="A44" s="322"/>
      <c r="B44" s="79" t="s">
        <v>545</v>
      </c>
      <c r="C44" s="79" t="s">
        <v>546</v>
      </c>
      <c r="D44" s="79" t="s">
        <v>390</v>
      </c>
      <c r="E44" s="322"/>
      <c r="F44" s="79">
        <v>1</v>
      </c>
      <c r="G44" s="79">
        <v>1</v>
      </c>
      <c r="H44" s="79">
        <v>3</v>
      </c>
      <c r="I44" s="79" t="s">
        <v>390</v>
      </c>
      <c r="J44" s="79" t="s">
        <v>390</v>
      </c>
      <c r="K44" s="79" t="s">
        <v>390</v>
      </c>
      <c r="L44" s="79" t="s">
        <v>390</v>
      </c>
      <c r="M44" s="79" t="s">
        <v>390</v>
      </c>
      <c r="N44" s="79" t="s">
        <v>390</v>
      </c>
      <c r="O44" s="322"/>
      <c r="S44">
        <v>1</v>
      </c>
      <c r="T44">
        <v>3</v>
      </c>
      <c r="U44" s="324"/>
    </row>
    <row r="45" spans="1:29" ht="15" customHeight="1">
      <c r="A45" s="322" t="s">
        <v>200</v>
      </c>
      <c r="B45" s="79" t="s">
        <v>548</v>
      </c>
      <c r="C45" s="79" t="s">
        <v>208</v>
      </c>
      <c r="D45" s="322" t="s">
        <v>209</v>
      </c>
      <c r="E45" s="322" t="s">
        <v>210</v>
      </c>
      <c r="F45" s="67">
        <v>2</v>
      </c>
      <c r="G45" s="79">
        <v>1</v>
      </c>
      <c r="H45" s="79">
        <v>3</v>
      </c>
      <c r="I45" s="323" t="s">
        <v>209</v>
      </c>
      <c r="J45" s="322" t="s">
        <v>217</v>
      </c>
      <c r="K45" s="322">
        <v>44</v>
      </c>
      <c r="L45" s="330">
        <v>46290</v>
      </c>
      <c r="M45" s="322"/>
      <c r="N45" s="331">
        <v>1980</v>
      </c>
      <c r="O45" s="322" t="s">
        <v>549</v>
      </c>
      <c r="P45" s="68" t="s">
        <v>550</v>
      </c>
      <c r="Q45" s="68"/>
      <c r="S45" s="48">
        <v>1</v>
      </c>
      <c r="T45" s="48">
        <v>3</v>
      </c>
      <c r="U45" s="327" t="s">
        <v>551</v>
      </c>
      <c r="V45" t="s">
        <v>39</v>
      </c>
      <c r="W45" t="s">
        <v>217</v>
      </c>
      <c r="X45" s="18" t="s">
        <v>209</v>
      </c>
      <c r="Y45">
        <v>44</v>
      </c>
      <c r="Z45" s="37">
        <v>46290</v>
      </c>
      <c r="AB45" s="38">
        <v>1980</v>
      </c>
      <c r="AC45" t="s">
        <v>549</v>
      </c>
    </row>
    <row r="46" spans="1:29" ht="42.75" customHeight="1">
      <c r="A46" s="322"/>
      <c r="B46" s="79" t="s">
        <v>207</v>
      </c>
      <c r="C46" s="79" t="s">
        <v>208</v>
      </c>
      <c r="D46" s="322"/>
      <c r="E46" s="322"/>
      <c r="F46" s="67">
        <v>1</v>
      </c>
      <c r="G46" s="79">
        <v>1</v>
      </c>
      <c r="H46" s="79">
        <v>3</v>
      </c>
      <c r="I46" s="323"/>
      <c r="J46" s="322"/>
      <c r="K46" s="322"/>
      <c r="L46" s="330"/>
      <c r="M46" s="322"/>
      <c r="N46" s="331"/>
      <c r="O46" s="322"/>
      <c r="P46" s="68" t="s">
        <v>550</v>
      </c>
      <c r="Q46" s="68"/>
      <c r="S46" s="48">
        <v>1</v>
      </c>
      <c r="T46" s="48">
        <v>3</v>
      </c>
      <c r="U46" s="327"/>
      <c r="V46" t="s">
        <v>39</v>
      </c>
      <c r="W46" t="s">
        <v>217</v>
      </c>
      <c r="X46" s="18" t="s">
        <v>209</v>
      </c>
      <c r="Y46">
        <v>44</v>
      </c>
      <c r="Z46" s="37">
        <v>46290</v>
      </c>
      <c r="AB46" s="38">
        <v>1980</v>
      </c>
      <c r="AC46" t="s">
        <v>549</v>
      </c>
    </row>
    <row r="47" spans="1:29" ht="270">
      <c r="A47" s="322"/>
      <c r="B47" s="79" t="s">
        <v>207</v>
      </c>
      <c r="C47" s="79" t="s">
        <v>552</v>
      </c>
      <c r="D47" s="95" t="s">
        <v>553</v>
      </c>
      <c r="E47" s="79" t="s">
        <v>554</v>
      </c>
      <c r="F47" s="67">
        <v>3</v>
      </c>
      <c r="G47" s="79">
        <v>1</v>
      </c>
      <c r="H47" s="79">
        <v>2</v>
      </c>
      <c r="I47" s="80" t="s">
        <v>555</v>
      </c>
      <c r="J47" s="79" t="s">
        <v>556</v>
      </c>
      <c r="K47" s="79" t="s">
        <v>557</v>
      </c>
      <c r="L47" s="81">
        <v>46129</v>
      </c>
      <c r="M47" s="81">
        <v>46284</v>
      </c>
      <c r="N47" s="85">
        <v>4500</v>
      </c>
      <c r="O47" s="79" t="s">
        <v>558</v>
      </c>
      <c r="P47" s="68" t="s">
        <v>559</v>
      </c>
      <c r="Q47" s="68"/>
      <c r="S47" s="48">
        <v>1</v>
      </c>
      <c r="T47" s="48">
        <v>2</v>
      </c>
      <c r="U47" s="327"/>
      <c r="V47" t="s">
        <v>39</v>
      </c>
      <c r="W47" t="s">
        <v>556</v>
      </c>
      <c r="X47" s="18" t="s">
        <v>555</v>
      </c>
      <c r="Z47" s="37">
        <v>46129</v>
      </c>
      <c r="AA47" s="37">
        <v>46284</v>
      </c>
      <c r="AB47" s="61">
        <v>4500</v>
      </c>
      <c r="AC47" s="1" t="s">
        <v>558</v>
      </c>
    </row>
    <row r="48" spans="1:29" ht="106.5" customHeight="1">
      <c r="A48" s="322"/>
      <c r="B48" s="79" t="s">
        <v>548</v>
      </c>
      <c r="C48" s="79" t="s">
        <v>560</v>
      </c>
      <c r="D48" s="79" t="s">
        <v>561</v>
      </c>
      <c r="E48" s="79" t="s">
        <v>562</v>
      </c>
      <c r="F48" s="67">
        <v>1</v>
      </c>
      <c r="G48" s="79">
        <v>1</v>
      </c>
      <c r="H48" s="79">
        <v>3</v>
      </c>
      <c r="I48" s="80" t="s">
        <v>561</v>
      </c>
      <c r="J48" s="79" t="s">
        <v>563</v>
      </c>
      <c r="K48" s="79">
        <v>8</v>
      </c>
      <c r="L48" s="79" t="s">
        <v>31</v>
      </c>
      <c r="M48" s="79" t="s">
        <v>31</v>
      </c>
      <c r="N48" s="79" t="s">
        <v>31</v>
      </c>
      <c r="O48" s="79" t="s">
        <v>564</v>
      </c>
      <c r="P48" s="68" t="s">
        <v>565</v>
      </c>
      <c r="Q48" s="68"/>
      <c r="S48" s="48">
        <v>1</v>
      </c>
      <c r="T48" s="48">
        <v>3</v>
      </c>
      <c r="U48" s="327"/>
      <c r="V48" t="s">
        <v>39</v>
      </c>
      <c r="W48" t="s">
        <v>563</v>
      </c>
      <c r="X48" s="18" t="s">
        <v>561</v>
      </c>
      <c r="Y48">
        <v>8</v>
      </c>
      <c r="AC48" s="1" t="s">
        <v>564</v>
      </c>
    </row>
    <row r="49" spans="1:29" ht="60.75" customHeight="1">
      <c r="A49" s="322"/>
      <c r="B49" s="79" t="s">
        <v>207</v>
      </c>
      <c r="C49" s="79" t="s">
        <v>566</v>
      </c>
      <c r="D49" s="79" t="s">
        <v>567</v>
      </c>
      <c r="E49" s="79" t="s">
        <v>568</v>
      </c>
      <c r="F49" s="67">
        <v>2</v>
      </c>
      <c r="G49" s="79">
        <v>1</v>
      </c>
      <c r="H49" s="79">
        <v>3</v>
      </c>
      <c r="I49" s="80" t="s">
        <v>567</v>
      </c>
      <c r="J49" s="79" t="s">
        <v>563</v>
      </c>
      <c r="K49" s="79">
        <v>16</v>
      </c>
      <c r="L49" s="79" t="s">
        <v>569</v>
      </c>
      <c r="M49" s="81" t="s">
        <v>570</v>
      </c>
      <c r="N49" s="79" t="s">
        <v>31</v>
      </c>
      <c r="O49" s="79"/>
      <c r="P49" s="54" t="s">
        <v>571</v>
      </c>
      <c r="Q49" s="54"/>
      <c r="S49" s="48">
        <v>1</v>
      </c>
      <c r="T49" s="48">
        <v>3</v>
      </c>
      <c r="U49" s="327"/>
      <c r="V49" t="s">
        <v>39</v>
      </c>
      <c r="W49" t="s">
        <v>563</v>
      </c>
      <c r="X49" s="18" t="s">
        <v>567</v>
      </c>
      <c r="Y49">
        <v>16</v>
      </c>
      <c r="Z49" s="1" t="s">
        <v>569</v>
      </c>
      <c r="AA49" s="69" t="s">
        <v>570</v>
      </c>
    </row>
    <row r="50" spans="1:29" ht="60">
      <c r="A50" s="322"/>
      <c r="B50" s="79" t="s">
        <v>548</v>
      </c>
      <c r="C50" s="79" t="s">
        <v>572</v>
      </c>
      <c r="D50" s="79" t="s">
        <v>573</v>
      </c>
      <c r="E50" s="79" t="s">
        <v>574</v>
      </c>
      <c r="F50" s="67">
        <v>4</v>
      </c>
      <c r="G50" s="79">
        <v>2</v>
      </c>
      <c r="H50" s="79">
        <v>3</v>
      </c>
      <c r="I50" s="80" t="s">
        <v>573</v>
      </c>
      <c r="J50" s="79" t="s">
        <v>575</v>
      </c>
      <c r="K50" s="79">
        <v>16</v>
      </c>
      <c r="L50" s="79" t="s">
        <v>31</v>
      </c>
      <c r="M50" s="79" t="s">
        <v>31</v>
      </c>
      <c r="N50" s="79" t="s">
        <v>31</v>
      </c>
      <c r="O50" s="79" t="s">
        <v>576</v>
      </c>
      <c r="P50" s="68" t="s">
        <v>577</v>
      </c>
      <c r="Q50" s="68"/>
      <c r="S50" s="48">
        <v>2</v>
      </c>
      <c r="T50" s="48">
        <v>3</v>
      </c>
      <c r="U50" s="327"/>
      <c r="V50" t="s">
        <v>39</v>
      </c>
      <c r="W50" t="s">
        <v>575</v>
      </c>
      <c r="X50" s="18" t="s">
        <v>573</v>
      </c>
      <c r="Y50">
        <v>16</v>
      </c>
      <c r="AC50" s="1" t="s">
        <v>576</v>
      </c>
    </row>
    <row r="51" spans="1:29" ht="90">
      <c r="A51" s="322"/>
      <c r="B51" s="79" t="s">
        <v>548</v>
      </c>
      <c r="C51" s="79" t="s">
        <v>578</v>
      </c>
      <c r="D51" s="79" t="s">
        <v>579</v>
      </c>
      <c r="E51" s="79" t="s">
        <v>580</v>
      </c>
      <c r="F51" s="67">
        <v>3</v>
      </c>
      <c r="G51" s="79">
        <v>2</v>
      </c>
      <c r="H51" s="79">
        <v>3</v>
      </c>
      <c r="I51" s="80" t="s">
        <v>579</v>
      </c>
      <c r="J51" s="79" t="s">
        <v>581</v>
      </c>
      <c r="K51" s="79">
        <v>55</v>
      </c>
      <c r="L51" s="81">
        <v>46160</v>
      </c>
      <c r="M51" s="81">
        <v>46198</v>
      </c>
      <c r="N51" s="79" t="s">
        <v>31</v>
      </c>
      <c r="O51" s="80" t="s">
        <v>582</v>
      </c>
      <c r="P51" s="68" t="s">
        <v>583</v>
      </c>
      <c r="Q51" s="68"/>
      <c r="S51" s="48">
        <v>2</v>
      </c>
      <c r="T51" s="48">
        <v>3</v>
      </c>
      <c r="U51" s="327"/>
      <c r="V51" t="s">
        <v>39</v>
      </c>
      <c r="X51" s="18" t="s">
        <v>579</v>
      </c>
      <c r="Y51">
        <v>55</v>
      </c>
      <c r="Z51" s="37">
        <v>46160</v>
      </c>
      <c r="AA51" s="37">
        <v>46198</v>
      </c>
      <c r="AC51" s="13" t="s">
        <v>582</v>
      </c>
    </row>
    <row r="52" spans="1:29" ht="15" customHeight="1">
      <c r="A52" s="319" t="s">
        <v>584</v>
      </c>
      <c r="B52" s="89" t="s">
        <v>585</v>
      </c>
      <c r="C52" s="89" t="s">
        <v>586</v>
      </c>
      <c r="D52" s="326" t="s">
        <v>587</v>
      </c>
      <c r="E52" s="325" t="s">
        <v>588</v>
      </c>
      <c r="F52" s="79">
        <v>2</v>
      </c>
      <c r="G52" s="90">
        <v>1</v>
      </c>
      <c r="H52" s="90">
        <v>2</v>
      </c>
      <c r="I52" s="79" t="s">
        <v>30</v>
      </c>
      <c r="J52" s="79" t="s">
        <v>30</v>
      </c>
      <c r="K52" s="79" t="s">
        <v>30</v>
      </c>
      <c r="L52" s="79" t="s">
        <v>30</v>
      </c>
      <c r="M52" s="79" t="s">
        <v>30</v>
      </c>
      <c r="N52" s="79" t="s">
        <v>30</v>
      </c>
      <c r="O52" s="89" t="s">
        <v>589</v>
      </c>
      <c r="P52" s="70"/>
      <c r="Q52" s="70"/>
      <c r="S52" s="71">
        <v>1</v>
      </c>
      <c r="T52" s="71">
        <v>2</v>
      </c>
      <c r="U52" s="324" t="s">
        <v>590</v>
      </c>
      <c r="V52" t="s">
        <v>418</v>
      </c>
      <c r="AC52" s="72" t="s">
        <v>589</v>
      </c>
    </row>
    <row r="53" spans="1:29">
      <c r="A53" s="319"/>
      <c r="B53" s="89" t="s">
        <v>585</v>
      </c>
      <c r="C53" s="89" t="s">
        <v>591</v>
      </c>
      <c r="D53" s="326"/>
      <c r="E53" s="325"/>
      <c r="F53" s="79">
        <v>1</v>
      </c>
      <c r="G53" s="90">
        <v>1</v>
      </c>
      <c r="H53" s="90">
        <v>2</v>
      </c>
      <c r="I53" s="79" t="s">
        <v>30</v>
      </c>
      <c r="J53" s="79" t="s">
        <v>30</v>
      </c>
      <c r="K53" s="79" t="s">
        <v>30</v>
      </c>
      <c r="L53" s="79" t="s">
        <v>30</v>
      </c>
      <c r="M53" s="79" t="s">
        <v>30</v>
      </c>
      <c r="N53" s="79" t="s">
        <v>30</v>
      </c>
      <c r="O53" s="89" t="s">
        <v>589</v>
      </c>
      <c r="P53" s="70"/>
      <c r="Q53" s="70"/>
      <c r="S53" s="71">
        <v>1</v>
      </c>
      <c r="T53" s="71">
        <v>2</v>
      </c>
      <c r="U53" s="324"/>
      <c r="V53" t="s">
        <v>418</v>
      </c>
      <c r="AC53" s="72" t="s">
        <v>589</v>
      </c>
    </row>
    <row r="54" spans="1:29">
      <c r="A54" s="319"/>
      <c r="B54" s="89" t="s">
        <v>592</v>
      </c>
      <c r="C54" s="89" t="s">
        <v>586</v>
      </c>
      <c r="D54" s="326"/>
      <c r="E54" s="325"/>
      <c r="F54" s="79">
        <v>2</v>
      </c>
      <c r="G54" s="90">
        <v>1</v>
      </c>
      <c r="H54" s="90">
        <v>2</v>
      </c>
      <c r="I54" s="79" t="s">
        <v>30</v>
      </c>
      <c r="J54" s="79" t="s">
        <v>30</v>
      </c>
      <c r="K54" s="79" t="s">
        <v>30</v>
      </c>
      <c r="L54" s="79" t="s">
        <v>30</v>
      </c>
      <c r="M54" s="79" t="s">
        <v>30</v>
      </c>
      <c r="N54" s="79" t="s">
        <v>30</v>
      </c>
      <c r="O54" s="89" t="s">
        <v>589</v>
      </c>
      <c r="P54" s="70"/>
      <c r="Q54" s="70"/>
      <c r="S54" s="71">
        <v>2</v>
      </c>
      <c r="T54" s="71">
        <v>3</v>
      </c>
      <c r="U54" s="324"/>
      <c r="V54" t="s">
        <v>418</v>
      </c>
      <c r="AC54" s="72" t="s">
        <v>589</v>
      </c>
    </row>
    <row r="55" spans="1:29" ht="24" customHeight="1">
      <c r="A55" s="319"/>
      <c r="B55" s="89" t="s">
        <v>592</v>
      </c>
      <c r="C55" s="89" t="s">
        <v>593</v>
      </c>
      <c r="D55" s="326"/>
      <c r="E55" s="325"/>
      <c r="F55" s="79">
        <v>4</v>
      </c>
      <c r="G55" s="90">
        <v>1</v>
      </c>
      <c r="H55" s="90">
        <v>2</v>
      </c>
      <c r="I55" s="79" t="s">
        <v>30</v>
      </c>
      <c r="J55" s="79" t="s">
        <v>30</v>
      </c>
      <c r="K55" s="79" t="s">
        <v>30</v>
      </c>
      <c r="L55" s="79" t="s">
        <v>30</v>
      </c>
      <c r="M55" s="79" t="s">
        <v>30</v>
      </c>
      <c r="N55" s="79" t="s">
        <v>30</v>
      </c>
      <c r="O55" s="89" t="s">
        <v>594</v>
      </c>
      <c r="P55" s="70"/>
      <c r="Q55" s="70"/>
      <c r="S55" s="71">
        <v>1</v>
      </c>
      <c r="T55" s="71">
        <v>2</v>
      </c>
      <c r="U55" s="324"/>
      <c r="V55" t="s">
        <v>418</v>
      </c>
      <c r="AC55" s="72" t="s">
        <v>594</v>
      </c>
    </row>
    <row r="56" spans="1:29">
      <c r="A56" s="319"/>
      <c r="B56" s="89" t="s">
        <v>592</v>
      </c>
      <c r="C56" s="89" t="s">
        <v>595</v>
      </c>
      <c r="D56" s="326"/>
      <c r="E56" s="325"/>
      <c r="F56" s="79">
        <v>3</v>
      </c>
      <c r="G56" s="90">
        <v>1</v>
      </c>
      <c r="H56" s="90">
        <v>2</v>
      </c>
      <c r="I56" s="79" t="s">
        <v>30</v>
      </c>
      <c r="J56" s="79" t="s">
        <v>30</v>
      </c>
      <c r="K56" s="79" t="s">
        <v>30</v>
      </c>
      <c r="L56" s="79" t="s">
        <v>30</v>
      </c>
      <c r="M56" s="79" t="s">
        <v>30</v>
      </c>
      <c r="N56" s="79" t="s">
        <v>30</v>
      </c>
      <c r="O56" s="89" t="s">
        <v>589</v>
      </c>
      <c r="P56" s="70"/>
      <c r="Q56" s="70"/>
      <c r="S56" s="71">
        <v>1</v>
      </c>
      <c r="T56" s="71">
        <v>2</v>
      </c>
      <c r="U56" s="324"/>
      <c r="V56" t="s">
        <v>418</v>
      </c>
      <c r="AC56" s="72" t="s">
        <v>589</v>
      </c>
    </row>
    <row r="57" spans="1:29">
      <c r="A57" s="319"/>
      <c r="B57" s="89" t="s">
        <v>592</v>
      </c>
      <c r="C57" s="89" t="s">
        <v>591</v>
      </c>
      <c r="D57" s="326"/>
      <c r="E57" s="325"/>
      <c r="F57" s="79">
        <v>1</v>
      </c>
      <c r="G57" s="90">
        <v>1</v>
      </c>
      <c r="H57" s="90">
        <v>2</v>
      </c>
      <c r="I57" s="79" t="s">
        <v>30</v>
      </c>
      <c r="J57" s="79" t="s">
        <v>30</v>
      </c>
      <c r="K57" s="79" t="s">
        <v>30</v>
      </c>
      <c r="L57" s="79" t="s">
        <v>30</v>
      </c>
      <c r="M57" s="79" t="s">
        <v>30</v>
      </c>
      <c r="N57" s="79" t="s">
        <v>30</v>
      </c>
      <c r="O57" s="89" t="s">
        <v>589</v>
      </c>
      <c r="P57" s="70"/>
      <c r="Q57" s="70"/>
      <c r="S57" s="71">
        <v>1</v>
      </c>
      <c r="T57" s="71">
        <v>2</v>
      </c>
      <c r="U57" s="324"/>
      <c r="V57" t="s">
        <v>418</v>
      </c>
      <c r="AC57" s="72" t="s">
        <v>589</v>
      </c>
    </row>
    <row r="58" spans="1:29">
      <c r="A58" s="319"/>
      <c r="B58" s="89" t="s">
        <v>596</v>
      </c>
      <c r="C58" s="89" t="s">
        <v>586</v>
      </c>
      <c r="D58" s="326"/>
      <c r="E58" s="325"/>
      <c r="F58" s="79">
        <v>1</v>
      </c>
      <c r="G58" s="90">
        <v>1</v>
      </c>
      <c r="H58" s="90">
        <v>2</v>
      </c>
      <c r="I58" s="79" t="s">
        <v>30</v>
      </c>
      <c r="J58" s="79" t="s">
        <v>30</v>
      </c>
      <c r="K58" s="79" t="s">
        <v>30</v>
      </c>
      <c r="L58" s="79" t="s">
        <v>30</v>
      </c>
      <c r="M58" s="79" t="s">
        <v>30</v>
      </c>
      <c r="N58" s="79" t="s">
        <v>30</v>
      </c>
      <c r="O58" s="89" t="s">
        <v>589</v>
      </c>
      <c r="P58" s="70"/>
      <c r="Q58" s="70"/>
      <c r="S58" s="71">
        <v>1</v>
      </c>
      <c r="T58" s="71">
        <v>2</v>
      </c>
      <c r="U58" s="324"/>
      <c r="V58" t="s">
        <v>418</v>
      </c>
      <c r="AC58" s="72" t="s">
        <v>589</v>
      </c>
    </row>
    <row r="59" spans="1:29" ht="18.75">
      <c r="A59" s="319"/>
      <c r="B59" s="89" t="s">
        <v>596</v>
      </c>
      <c r="C59" s="89" t="s">
        <v>597</v>
      </c>
      <c r="D59" s="326"/>
      <c r="E59" s="325"/>
      <c r="F59" s="79">
        <v>2</v>
      </c>
      <c r="G59" s="90">
        <v>1</v>
      </c>
      <c r="H59" s="90">
        <v>2</v>
      </c>
      <c r="I59" s="79" t="s">
        <v>30</v>
      </c>
      <c r="J59" s="79" t="s">
        <v>30</v>
      </c>
      <c r="K59" s="79" t="s">
        <v>30</v>
      </c>
      <c r="L59" s="79" t="s">
        <v>30</v>
      </c>
      <c r="M59" s="79" t="s">
        <v>30</v>
      </c>
      <c r="N59" s="79" t="s">
        <v>30</v>
      </c>
      <c r="O59" s="89" t="s">
        <v>598</v>
      </c>
      <c r="P59" s="70"/>
      <c r="Q59" s="70"/>
      <c r="S59" s="71">
        <v>1</v>
      </c>
      <c r="T59" s="71">
        <v>2</v>
      </c>
      <c r="U59" s="324"/>
      <c r="V59" t="s">
        <v>418</v>
      </c>
      <c r="W59" s="73"/>
      <c r="AC59" s="72" t="s">
        <v>598</v>
      </c>
    </row>
    <row r="60" spans="1:29" s="39" customFormat="1" ht="36.75" customHeight="1">
      <c r="A60" s="319"/>
      <c r="B60" s="89" t="s">
        <v>596</v>
      </c>
      <c r="C60" s="89" t="s">
        <v>599</v>
      </c>
      <c r="D60" s="326"/>
      <c r="E60" s="325"/>
      <c r="F60" s="79">
        <v>3</v>
      </c>
      <c r="G60" s="90">
        <v>1</v>
      </c>
      <c r="H60" s="90">
        <v>2</v>
      </c>
      <c r="I60" s="79" t="s">
        <v>30</v>
      </c>
      <c r="J60" s="79" t="s">
        <v>30</v>
      </c>
      <c r="K60" s="79" t="s">
        <v>30</v>
      </c>
      <c r="L60" s="79" t="s">
        <v>30</v>
      </c>
      <c r="M60" s="79" t="s">
        <v>30</v>
      </c>
      <c r="N60" s="79" t="s">
        <v>30</v>
      </c>
      <c r="O60" s="89" t="s">
        <v>600</v>
      </c>
      <c r="P60" s="74"/>
      <c r="Q60" s="74"/>
      <c r="S60" s="75">
        <v>1</v>
      </c>
      <c r="T60" s="75">
        <v>2</v>
      </c>
      <c r="U60" s="324"/>
      <c r="V60" s="39" t="s">
        <v>418</v>
      </c>
      <c r="W60" s="76"/>
      <c r="AC60" s="77" t="s">
        <v>600</v>
      </c>
    </row>
    <row r="61" spans="1:29" ht="30">
      <c r="A61" s="319"/>
      <c r="B61" s="89" t="s">
        <v>601</v>
      </c>
      <c r="C61" s="89" t="s">
        <v>586</v>
      </c>
      <c r="D61" s="326"/>
      <c r="E61" s="325"/>
      <c r="F61" s="79">
        <v>2</v>
      </c>
      <c r="G61" s="90">
        <v>1</v>
      </c>
      <c r="H61" s="90">
        <v>2</v>
      </c>
      <c r="I61" s="79" t="s">
        <v>30</v>
      </c>
      <c r="J61" s="79" t="s">
        <v>30</v>
      </c>
      <c r="K61" s="79" t="s">
        <v>30</v>
      </c>
      <c r="L61" s="79" t="s">
        <v>30</v>
      </c>
      <c r="M61" s="79" t="s">
        <v>30</v>
      </c>
      <c r="N61" s="79" t="s">
        <v>30</v>
      </c>
      <c r="O61" s="89" t="s">
        <v>589</v>
      </c>
      <c r="P61" s="70"/>
      <c r="Q61" s="70"/>
      <c r="S61" s="71">
        <v>1</v>
      </c>
      <c r="T61" s="71">
        <v>2</v>
      </c>
      <c r="U61" s="324"/>
      <c r="V61" t="s">
        <v>418</v>
      </c>
      <c r="W61" s="73"/>
      <c r="AC61" s="72" t="s">
        <v>589</v>
      </c>
    </row>
    <row r="62" spans="1:29" ht="30">
      <c r="A62" s="319"/>
      <c r="B62" s="89" t="s">
        <v>601</v>
      </c>
      <c r="C62" s="89" t="s">
        <v>597</v>
      </c>
      <c r="D62" s="326"/>
      <c r="E62" s="325"/>
      <c r="F62" s="79">
        <v>1</v>
      </c>
      <c r="G62" s="90">
        <v>1</v>
      </c>
      <c r="H62" s="90">
        <v>2</v>
      </c>
      <c r="I62" s="79" t="s">
        <v>30</v>
      </c>
      <c r="J62" s="79" t="s">
        <v>30</v>
      </c>
      <c r="K62" s="79" t="s">
        <v>30</v>
      </c>
      <c r="L62" s="79" t="s">
        <v>30</v>
      </c>
      <c r="M62" s="79" t="s">
        <v>30</v>
      </c>
      <c r="N62" s="79" t="s">
        <v>30</v>
      </c>
      <c r="O62" s="89" t="s">
        <v>598</v>
      </c>
      <c r="P62" s="70"/>
      <c r="Q62" s="70"/>
      <c r="S62" s="71">
        <v>1</v>
      </c>
      <c r="T62" s="71">
        <v>2</v>
      </c>
      <c r="U62" s="324"/>
      <c r="V62" t="s">
        <v>418</v>
      </c>
      <c r="AC62" s="72" t="s">
        <v>598</v>
      </c>
    </row>
    <row r="63" spans="1:29">
      <c r="A63" s="319"/>
      <c r="B63" s="89" t="s">
        <v>602</v>
      </c>
      <c r="C63" s="89" t="s">
        <v>586</v>
      </c>
      <c r="D63" s="326"/>
      <c r="E63" s="325"/>
      <c r="F63" s="79">
        <v>1</v>
      </c>
      <c r="G63" s="90">
        <v>1</v>
      </c>
      <c r="H63" s="90">
        <v>2</v>
      </c>
      <c r="I63" s="79" t="s">
        <v>30</v>
      </c>
      <c r="J63" s="79" t="s">
        <v>30</v>
      </c>
      <c r="K63" s="79" t="s">
        <v>30</v>
      </c>
      <c r="L63" s="79" t="s">
        <v>30</v>
      </c>
      <c r="M63" s="79" t="s">
        <v>30</v>
      </c>
      <c r="N63" s="79" t="s">
        <v>30</v>
      </c>
      <c r="O63" s="89" t="s">
        <v>589</v>
      </c>
      <c r="P63" s="70"/>
      <c r="Q63" s="70"/>
      <c r="S63" s="71">
        <v>2</v>
      </c>
      <c r="T63" s="71">
        <v>3</v>
      </c>
      <c r="U63" s="324"/>
      <c r="V63" t="s">
        <v>418</v>
      </c>
      <c r="AC63" s="72" t="s">
        <v>589</v>
      </c>
    </row>
    <row r="64" spans="1:29">
      <c r="A64" s="319"/>
      <c r="B64" s="89" t="s">
        <v>602</v>
      </c>
      <c r="C64" s="89" t="s">
        <v>591</v>
      </c>
      <c r="D64" s="326"/>
      <c r="E64" s="325"/>
      <c r="F64" s="79">
        <v>2</v>
      </c>
      <c r="G64" s="90">
        <v>1</v>
      </c>
      <c r="H64" s="90">
        <v>2</v>
      </c>
      <c r="I64" s="79" t="s">
        <v>30</v>
      </c>
      <c r="J64" s="79" t="s">
        <v>30</v>
      </c>
      <c r="K64" s="79" t="s">
        <v>30</v>
      </c>
      <c r="L64" s="79" t="s">
        <v>30</v>
      </c>
      <c r="M64" s="79" t="s">
        <v>30</v>
      </c>
      <c r="N64" s="79" t="s">
        <v>30</v>
      </c>
      <c r="O64" s="89" t="s">
        <v>589</v>
      </c>
      <c r="P64" s="70"/>
      <c r="Q64" s="70"/>
      <c r="S64" s="71">
        <v>1</v>
      </c>
      <c r="T64" s="71">
        <v>2</v>
      </c>
      <c r="U64" s="324"/>
      <c r="V64" t="s">
        <v>418</v>
      </c>
      <c r="AC64" s="72" t="s">
        <v>589</v>
      </c>
    </row>
    <row r="65" spans="1:30" ht="30">
      <c r="A65" s="319"/>
      <c r="B65" s="89" t="s">
        <v>603</v>
      </c>
      <c r="C65" s="89" t="s">
        <v>604</v>
      </c>
      <c r="D65" s="326"/>
      <c r="E65" s="325"/>
      <c r="F65" s="79">
        <v>1</v>
      </c>
      <c r="G65" s="90">
        <v>1</v>
      </c>
      <c r="H65" s="90">
        <v>2</v>
      </c>
      <c r="I65" s="79" t="s">
        <v>30</v>
      </c>
      <c r="J65" s="79" t="s">
        <v>30</v>
      </c>
      <c r="K65" s="79" t="s">
        <v>30</v>
      </c>
      <c r="L65" s="79" t="s">
        <v>30</v>
      </c>
      <c r="M65" s="79" t="s">
        <v>30</v>
      </c>
      <c r="N65" s="79" t="s">
        <v>30</v>
      </c>
      <c r="O65" s="89" t="s">
        <v>605</v>
      </c>
      <c r="P65" s="70"/>
      <c r="Q65" s="70"/>
      <c r="S65" s="71">
        <v>1</v>
      </c>
      <c r="T65" s="71">
        <v>2</v>
      </c>
      <c r="U65" s="324"/>
      <c r="V65" t="s">
        <v>418</v>
      </c>
      <c r="AC65" s="72" t="s">
        <v>605</v>
      </c>
    </row>
    <row r="66" spans="1:30" ht="15" customHeight="1">
      <c r="A66" s="319"/>
      <c r="B66" s="89" t="s">
        <v>603</v>
      </c>
      <c r="C66" s="89" t="s">
        <v>606</v>
      </c>
      <c r="D66" s="326"/>
      <c r="E66" s="325"/>
      <c r="F66" s="79">
        <v>3</v>
      </c>
      <c r="G66" s="90">
        <v>1</v>
      </c>
      <c r="H66" s="90">
        <v>2</v>
      </c>
      <c r="I66" s="79" t="s">
        <v>30</v>
      </c>
      <c r="J66" s="79" t="s">
        <v>30</v>
      </c>
      <c r="K66" s="79" t="s">
        <v>30</v>
      </c>
      <c r="L66" s="79" t="s">
        <v>30</v>
      </c>
      <c r="M66" s="79" t="s">
        <v>30</v>
      </c>
      <c r="N66" s="79" t="s">
        <v>30</v>
      </c>
      <c r="O66" s="89" t="s">
        <v>607</v>
      </c>
      <c r="P66" s="70"/>
      <c r="Q66" s="70"/>
      <c r="S66" s="71">
        <v>1</v>
      </c>
      <c r="T66" s="71">
        <v>2</v>
      </c>
      <c r="U66" s="324"/>
      <c r="V66" t="s">
        <v>418</v>
      </c>
      <c r="AC66" s="78" t="s">
        <v>607</v>
      </c>
    </row>
    <row r="67" spans="1:30" ht="15" customHeight="1">
      <c r="A67" s="319"/>
      <c r="B67" s="89" t="s">
        <v>603</v>
      </c>
      <c r="C67" s="89" t="s">
        <v>608</v>
      </c>
      <c r="D67" s="326"/>
      <c r="E67" s="325"/>
      <c r="F67" s="79">
        <v>2</v>
      </c>
      <c r="G67" s="90">
        <v>1</v>
      </c>
      <c r="H67" s="90">
        <v>2</v>
      </c>
      <c r="I67" s="79" t="s">
        <v>30</v>
      </c>
      <c r="J67" s="79" t="s">
        <v>30</v>
      </c>
      <c r="K67" s="79" t="s">
        <v>30</v>
      </c>
      <c r="L67" s="79" t="s">
        <v>30</v>
      </c>
      <c r="M67" s="79" t="s">
        <v>30</v>
      </c>
      <c r="N67" s="79" t="s">
        <v>30</v>
      </c>
      <c r="O67" s="89" t="s">
        <v>605</v>
      </c>
      <c r="P67" s="70"/>
      <c r="Q67" s="70"/>
      <c r="S67" s="71">
        <v>1</v>
      </c>
      <c r="T67" s="71">
        <v>2</v>
      </c>
      <c r="U67" s="324"/>
      <c r="V67" t="s">
        <v>418</v>
      </c>
      <c r="AC67" s="72" t="s">
        <v>605</v>
      </c>
    </row>
    <row r="68" spans="1:30" ht="165">
      <c r="A68" s="319"/>
      <c r="B68" s="320" t="s">
        <v>609</v>
      </c>
      <c r="C68" s="320" t="s">
        <v>155</v>
      </c>
      <c r="D68" s="113" t="s">
        <v>610</v>
      </c>
      <c r="E68" s="113" t="s">
        <v>611</v>
      </c>
      <c r="F68" s="114">
        <v>3</v>
      </c>
      <c r="G68" s="115">
        <v>1</v>
      </c>
      <c r="H68" s="115">
        <v>3</v>
      </c>
      <c r="I68" s="116" t="s">
        <v>612</v>
      </c>
      <c r="J68" s="114" t="s">
        <v>613</v>
      </c>
      <c r="K68" s="114" t="s">
        <v>614</v>
      </c>
      <c r="L68" s="114" t="s">
        <v>615</v>
      </c>
      <c r="M68" s="117" t="s">
        <v>218</v>
      </c>
      <c r="N68" s="118">
        <v>1521</v>
      </c>
      <c r="O68" s="119"/>
      <c r="P68" s="70"/>
      <c r="Q68" s="70"/>
      <c r="S68" s="71"/>
      <c r="T68" s="71"/>
      <c r="U68" s="34"/>
      <c r="AC68" s="72"/>
    </row>
    <row r="69" spans="1:30" ht="180">
      <c r="A69" s="319"/>
      <c r="B69" s="320"/>
      <c r="C69" s="320"/>
      <c r="D69" s="113" t="s">
        <v>214</v>
      </c>
      <c r="E69" s="113" t="s">
        <v>616</v>
      </c>
      <c r="F69" s="114">
        <v>1</v>
      </c>
      <c r="G69" s="115">
        <v>1</v>
      </c>
      <c r="H69" s="115">
        <v>3</v>
      </c>
      <c r="I69" s="116" t="s">
        <v>216</v>
      </c>
      <c r="J69" s="114" t="s">
        <v>613</v>
      </c>
      <c r="K69" s="114">
        <v>20</v>
      </c>
      <c r="L69" s="117">
        <v>46148</v>
      </c>
      <c r="M69" s="117" t="s">
        <v>218</v>
      </c>
      <c r="N69" s="118">
        <v>1870</v>
      </c>
      <c r="O69" s="119"/>
      <c r="P69" s="70"/>
      <c r="Q69" s="70"/>
      <c r="S69" s="71"/>
      <c r="T69" s="71"/>
      <c r="U69" s="34"/>
      <c r="AC69" s="72"/>
    </row>
    <row r="70" spans="1:30" ht="105">
      <c r="A70" s="319"/>
      <c r="B70" s="320"/>
      <c r="C70" s="320"/>
      <c r="D70" s="113" t="s">
        <v>617</v>
      </c>
      <c r="E70" s="113" t="s">
        <v>618</v>
      </c>
      <c r="F70" s="114">
        <v>2</v>
      </c>
      <c r="G70" s="115">
        <v>0</v>
      </c>
      <c r="H70" s="115">
        <v>3</v>
      </c>
      <c r="I70" s="116" t="s">
        <v>619</v>
      </c>
      <c r="J70" s="114" t="s">
        <v>620</v>
      </c>
      <c r="K70" s="114" t="s">
        <v>621</v>
      </c>
      <c r="L70" s="117">
        <v>46271</v>
      </c>
      <c r="M70" s="117" t="s">
        <v>622</v>
      </c>
      <c r="N70" s="118">
        <v>897</v>
      </c>
      <c r="O70" s="119"/>
      <c r="P70" s="70"/>
      <c r="Q70" s="70"/>
      <c r="S70" s="71"/>
      <c r="T70" s="71"/>
      <c r="U70" s="34"/>
      <c r="AC70" s="72"/>
    </row>
    <row r="71" spans="1:30" ht="195">
      <c r="A71" s="319"/>
      <c r="B71" s="320"/>
      <c r="C71" s="320"/>
      <c r="D71" s="113" t="s">
        <v>623</v>
      </c>
      <c r="E71" s="113" t="s">
        <v>624</v>
      </c>
      <c r="F71" s="114">
        <v>5</v>
      </c>
      <c r="G71" s="115">
        <v>1</v>
      </c>
      <c r="H71" s="115">
        <v>3</v>
      </c>
      <c r="I71" s="116" t="s">
        <v>625</v>
      </c>
      <c r="J71" s="114" t="s">
        <v>613</v>
      </c>
      <c r="K71" s="114" t="s">
        <v>626</v>
      </c>
      <c r="L71" s="114" t="s">
        <v>627</v>
      </c>
      <c r="M71" s="117" t="s">
        <v>628</v>
      </c>
      <c r="N71" s="118">
        <v>3100</v>
      </c>
      <c r="O71" s="119"/>
      <c r="P71" s="70"/>
      <c r="Q71" s="70"/>
      <c r="S71" s="71"/>
      <c r="T71" s="71"/>
      <c r="U71" s="34"/>
      <c r="AC71" s="72"/>
    </row>
    <row r="72" spans="1:30" ht="165">
      <c r="A72" s="319"/>
      <c r="B72" s="320"/>
      <c r="C72" s="320"/>
      <c r="D72" s="113" t="s">
        <v>629</v>
      </c>
      <c r="E72" s="113" t="s">
        <v>630</v>
      </c>
      <c r="F72" s="114">
        <v>4</v>
      </c>
      <c r="G72" s="115">
        <v>1</v>
      </c>
      <c r="H72" s="115">
        <v>3</v>
      </c>
      <c r="I72" s="116" t="s">
        <v>631</v>
      </c>
      <c r="J72" s="114" t="s">
        <v>632</v>
      </c>
      <c r="K72" s="114" t="s">
        <v>633</v>
      </c>
      <c r="L72" s="114" t="s">
        <v>634</v>
      </c>
      <c r="M72" s="117" t="s">
        <v>634</v>
      </c>
      <c r="N72" s="118">
        <v>1890</v>
      </c>
      <c r="O72" s="119"/>
      <c r="P72" s="70"/>
      <c r="Q72" s="70"/>
      <c r="S72" s="71"/>
      <c r="T72" s="71"/>
      <c r="U72" s="34"/>
      <c r="AC72" s="72"/>
    </row>
    <row r="73" spans="1:30" ht="45">
      <c r="A73" s="319"/>
      <c r="B73" s="320"/>
      <c r="C73" s="320"/>
      <c r="D73" s="113" t="s">
        <v>635</v>
      </c>
      <c r="E73" s="113" t="s">
        <v>636</v>
      </c>
      <c r="F73" s="114">
        <v>6</v>
      </c>
      <c r="G73" s="115">
        <v>1</v>
      </c>
      <c r="H73" s="115">
        <v>2</v>
      </c>
      <c r="I73" s="116" t="s">
        <v>637</v>
      </c>
      <c r="J73" s="114" t="s">
        <v>620</v>
      </c>
      <c r="K73" s="114" t="s">
        <v>638</v>
      </c>
      <c r="L73" s="114" t="s">
        <v>639</v>
      </c>
      <c r="M73" s="117" t="s">
        <v>639</v>
      </c>
      <c r="N73" s="118">
        <v>297</v>
      </c>
      <c r="O73" s="119"/>
      <c r="P73" s="70"/>
      <c r="Q73" s="70"/>
      <c r="S73" s="71"/>
      <c r="T73" s="71"/>
      <c r="U73" s="34"/>
      <c r="AC73" s="72"/>
    </row>
    <row r="74" spans="1:30" ht="195">
      <c r="A74" s="319"/>
      <c r="B74" s="320"/>
      <c r="C74" s="320"/>
      <c r="D74" s="113" t="s">
        <v>640</v>
      </c>
      <c r="E74" s="113" t="s">
        <v>641</v>
      </c>
      <c r="F74" s="114">
        <v>7</v>
      </c>
      <c r="G74" s="115">
        <v>1</v>
      </c>
      <c r="H74" s="115">
        <v>3</v>
      </c>
      <c r="I74" s="116" t="s">
        <v>642</v>
      </c>
      <c r="J74" s="114" t="s">
        <v>613</v>
      </c>
      <c r="K74" s="114" t="s">
        <v>626</v>
      </c>
      <c r="L74" s="114" t="s">
        <v>643</v>
      </c>
      <c r="M74" s="117">
        <v>46368</v>
      </c>
      <c r="N74" s="118">
        <v>2900</v>
      </c>
      <c r="O74" s="119"/>
      <c r="P74" s="70"/>
      <c r="Q74" s="70"/>
      <c r="S74" s="71"/>
      <c r="T74" s="71"/>
      <c r="U74" s="34"/>
      <c r="AC74" s="72"/>
    </row>
    <row r="75" spans="1:30" ht="180">
      <c r="A75" s="319"/>
      <c r="B75" s="320"/>
      <c r="C75" s="320"/>
      <c r="D75" s="113" t="s">
        <v>644</v>
      </c>
      <c r="E75" s="113" t="s">
        <v>645</v>
      </c>
      <c r="F75" s="114">
        <v>9</v>
      </c>
      <c r="G75" s="115">
        <v>1</v>
      </c>
      <c r="H75" s="115">
        <v>2</v>
      </c>
      <c r="I75" s="116" t="s">
        <v>646</v>
      </c>
      <c r="J75" s="114" t="s">
        <v>613</v>
      </c>
      <c r="K75" s="114" t="s">
        <v>647</v>
      </c>
      <c r="L75" s="114" t="s">
        <v>648</v>
      </c>
      <c r="M75" s="117" t="s">
        <v>649</v>
      </c>
      <c r="N75" s="118">
        <v>2300</v>
      </c>
      <c r="O75" s="119"/>
      <c r="P75" s="70"/>
      <c r="Q75" s="70"/>
      <c r="S75" s="71"/>
      <c r="T75" s="71"/>
      <c r="U75" s="34"/>
      <c r="AC75" s="72"/>
    </row>
    <row r="76" spans="1:30" ht="90">
      <c r="A76" s="319"/>
      <c r="B76" s="320"/>
      <c r="C76" s="320"/>
      <c r="D76" s="113" t="s">
        <v>650</v>
      </c>
      <c r="E76" s="113" t="s">
        <v>651</v>
      </c>
      <c r="F76" s="114">
        <v>8</v>
      </c>
      <c r="G76" s="115">
        <v>1</v>
      </c>
      <c r="H76" s="115">
        <v>2</v>
      </c>
      <c r="I76" s="116" t="s">
        <v>652</v>
      </c>
      <c r="J76" s="114" t="s">
        <v>563</v>
      </c>
      <c r="K76" s="114" t="s">
        <v>638</v>
      </c>
      <c r="L76" s="117">
        <v>46271</v>
      </c>
      <c r="M76" s="117">
        <v>46271</v>
      </c>
      <c r="N76" s="118">
        <v>420</v>
      </c>
      <c r="O76" s="119"/>
      <c r="P76" s="70"/>
      <c r="Q76" s="70"/>
      <c r="S76" s="71"/>
      <c r="T76" s="71"/>
      <c r="U76" s="34"/>
      <c r="AC76" s="72"/>
    </row>
    <row r="77" spans="1:30" ht="60">
      <c r="A77" s="319"/>
      <c r="B77" s="320"/>
      <c r="C77" s="320"/>
      <c r="D77" s="113" t="s">
        <v>653</v>
      </c>
      <c r="E77" s="113" t="s">
        <v>654</v>
      </c>
      <c r="F77" s="114">
        <v>10</v>
      </c>
      <c r="G77" s="115">
        <v>1</v>
      </c>
      <c r="H77" s="115">
        <v>3</v>
      </c>
      <c r="I77" s="116" t="s">
        <v>655</v>
      </c>
      <c r="J77" s="114" t="s">
        <v>656</v>
      </c>
      <c r="K77" s="114" t="s">
        <v>657</v>
      </c>
      <c r="L77" s="114" t="s">
        <v>634</v>
      </c>
      <c r="M77" s="117" t="s">
        <v>634</v>
      </c>
      <c r="N77" s="118">
        <v>2800</v>
      </c>
      <c r="O77" s="119"/>
      <c r="P77" s="70"/>
      <c r="Q77" s="70"/>
      <c r="S77" s="71"/>
      <c r="T77" s="71"/>
      <c r="U77" s="34"/>
      <c r="AC77" s="72"/>
    </row>
    <row r="78" spans="1:30" ht="108.75" customHeight="1">
      <c r="A78" s="89" t="s">
        <v>658</v>
      </c>
      <c r="B78" s="89" t="s">
        <v>659</v>
      </c>
      <c r="C78" s="89" t="s">
        <v>660</v>
      </c>
      <c r="D78" s="89" t="s">
        <v>661</v>
      </c>
      <c r="E78" s="89" t="s">
        <v>662</v>
      </c>
      <c r="F78" s="79">
        <v>1</v>
      </c>
      <c r="G78" s="90">
        <v>1</v>
      </c>
      <c r="H78" s="90">
        <v>2</v>
      </c>
      <c r="I78" s="79" t="s">
        <v>30</v>
      </c>
      <c r="J78" s="79" t="s">
        <v>30</v>
      </c>
      <c r="K78" s="79" t="s">
        <v>30</v>
      </c>
      <c r="L78" s="79" t="s">
        <v>30</v>
      </c>
      <c r="M78" s="79" t="s">
        <v>30</v>
      </c>
      <c r="N78" s="79" t="s">
        <v>30</v>
      </c>
      <c r="O78" s="89" t="s">
        <v>663</v>
      </c>
      <c r="P78" s="70"/>
      <c r="Q78" s="70"/>
      <c r="S78" s="71">
        <v>1</v>
      </c>
      <c r="T78" s="71">
        <v>2</v>
      </c>
      <c r="U78" s="34"/>
      <c r="V78" t="s">
        <v>418</v>
      </c>
      <c r="AC78" s="72" t="s">
        <v>663</v>
      </c>
    </row>
    <row r="79" spans="1:30" ht="15" customHeight="1">
      <c r="A79" s="322" t="s">
        <v>21</v>
      </c>
      <c r="B79" s="79" t="s">
        <v>22</v>
      </c>
      <c r="C79" s="322" t="s">
        <v>23</v>
      </c>
      <c r="D79" s="79" t="s">
        <v>24</v>
      </c>
      <c r="E79" s="322" t="s">
        <v>664</v>
      </c>
      <c r="F79" s="79">
        <v>1</v>
      </c>
      <c r="G79" s="79">
        <v>3</v>
      </c>
      <c r="H79" s="79">
        <v>3</v>
      </c>
      <c r="I79" s="83" t="s">
        <v>26</v>
      </c>
      <c r="J79" s="79" t="s">
        <v>27</v>
      </c>
      <c r="K79" s="79" t="s">
        <v>28</v>
      </c>
      <c r="L79" s="81" t="s">
        <v>29</v>
      </c>
      <c r="M79" s="79" t="s">
        <v>30</v>
      </c>
      <c r="N79" s="79" t="s">
        <v>31</v>
      </c>
      <c r="O79" s="79"/>
      <c r="P79" s="60"/>
      <c r="Q79" s="60"/>
      <c r="S79" s="24"/>
      <c r="T79" s="24"/>
      <c r="U79" s="24"/>
      <c r="V79" s="24"/>
      <c r="W79" s="24"/>
      <c r="X79" s="24"/>
      <c r="Y79" s="24"/>
      <c r="Z79" s="24"/>
      <c r="AA79" s="24"/>
      <c r="AB79" s="24"/>
      <c r="AC79" s="24"/>
      <c r="AD79" s="24"/>
    </row>
    <row r="80" spans="1:30" ht="15" customHeight="1">
      <c r="A80" s="322"/>
      <c r="B80" s="62" t="s">
        <v>32</v>
      </c>
      <c r="C80" s="322"/>
      <c r="D80" s="79" t="s">
        <v>33</v>
      </c>
      <c r="E80" s="322"/>
      <c r="F80" s="79">
        <v>1</v>
      </c>
      <c r="G80" s="79">
        <v>1</v>
      </c>
      <c r="H80" s="79">
        <v>2</v>
      </c>
      <c r="I80" s="83" t="s">
        <v>34</v>
      </c>
      <c r="J80" s="79" t="s">
        <v>35</v>
      </c>
      <c r="K80" s="79" t="s">
        <v>30</v>
      </c>
      <c r="L80" s="79" t="s">
        <v>36</v>
      </c>
      <c r="M80" s="79" t="s">
        <v>30</v>
      </c>
      <c r="N80" s="91">
        <v>445</v>
      </c>
      <c r="O80" s="79"/>
      <c r="P80" s="60"/>
      <c r="Q80" s="60"/>
      <c r="S80" s="24"/>
      <c r="T80" s="24"/>
      <c r="U80" s="24"/>
      <c r="V80" s="24"/>
      <c r="W80" s="24"/>
      <c r="X80" s="24"/>
      <c r="Y80" s="24"/>
      <c r="Z80" s="24"/>
      <c r="AA80" s="24"/>
      <c r="AB80" s="24"/>
      <c r="AC80" s="24"/>
      <c r="AD80" s="24"/>
    </row>
    <row r="81" spans="1:30" ht="15" customHeight="1">
      <c r="A81" s="322"/>
      <c r="B81" s="79" t="s">
        <v>43</v>
      </c>
      <c r="C81" s="322" t="s">
        <v>44</v>
      </c>
      <c r="D81" s="79" t="s">
        <v>45</v>
      </c>
      <c r="E81" s="322" t="s">
        <v>665</v>
      </c>
      <c r="F81" s="322">
        <v>1</v>
      </c>
      <c r="G81" s="79">
        <v>1</v>
      </c>
      <c r="H81" s="79">
        <v>2</v>
      </c>
      <c r="I81" s="83" t="s">
        <v>47</v>
      </c>
      <c r="J81" s="79" t="s">
        <v>35</v>
      </c>
      <c r="K81" s="79" t="s">
        <v>48</v>
      </c>
      <c r="L81" s="79" t="s">
        <v>30</v>
      </c>
      <c r="M81" s="79" t="s">
        <v>30</v>
      </c>
      <c r="N81" s="79" t="s">
        <v>49</v>
      </c>
      <c r="O81" s="79" t="s">
        <v>50</v>
      </c>
      <c r="P81" s="60"/>
      <c r="Q81" s="60"/>
      <c r="S81" s="24"/>
      <c r="T81" s="24"/>
      <c r="U81" s="24"/>
      <c r="V81" s="24"/>
      <c r="W81" s="24"/>
      <c r="X81" s="24"/>
      <c r="Y81" s="24"/>
      <c r="Z81" s="24"/>
      <c r="AA81" s="24"/>
      <c r="AB81" s="24"/>
      <c r="AC81" s="24"/>
      <c r="AD81" s="24"/>
    </row>
    <row r="82" spans="1:30" ht="15" customHeight="1">
      <c r="A82" s="322"/>
      <c r="B82" s="79" t="s">
        <v>52</v>
      </c>
      <c r="C82" s="322"/>
      <c r="D82" s="79" t="s">
        <v>33</v>
      </c>
      <c r="E82" s="322"/>
      <c r="F82" s="322"/>
      <c r="G82" s="79">
        <v>1</v>
      </c>
      <c r="H82" s="79">
        <v>2</v>
      </c>
      <c r="I82" s="83" t="s">
        <v>53</v>
      </c>
      <c r="J82" s="79" t="s">
        <v>35</v>
      </c>
      <c r="K82" s="79" t="s">
        <v>30</v>
      </c>
      <c r="L82" s="79" t="s">
        <v>36</v>
      </c>
      <c r="M82" s="79" t="s">
        <v>30</v>
      </c>
      <c r="N82" s="79" t="s">
        <v>31</v>
      </c>
      <c r="O82" s="79"/>
      <c r="P82" s="60"/>
      <c r="Q82" s="60"/>
      <c r="S82" s="24"/>
      <c r="T82" s="24"/>
      <c r="U82" s="24"/>
      <c r="V82" s="24"/>
      <c r="W82" s="24"/>
      <c r="X82" s="24"/>
      <c r="Y82" s="24"/>
      <c r="Z82" s="24"/>
      <c r="AA82" s="24"/>
      <c r="AB82" s="24"/>
      <c r="AC82" s="24"/>
      <c r="AD82" s="24"/>
    </row>
    <row r="83" spans="1:30" ht="15" customHeight="1">
      <c r="A83" s="322"/>
      <c r="B83" s="322" t="s">
        <v>54</v>
      </c>
      <c r="C83" s="322" t="s">
        <v>59</v>
      </c>
      <c r="D83" s="79" t="s">
        <v>55</v>
      </c>
      <c r="E83" s="322" t="s">
        <v>666</v>
      </c>
      <c r="F83" s="322">
        <v>1</v>
      </c>
      <c r="G83" s="322">
        <v>0</v>
      </c>
      <c r="H83" s="322">
        <v>1</v>
      </c>
      <c r="I83" s="83" t="s">
        <v>61</v>
      </c>
      <c r="J83" s="79" t="s">
        <v>62</v>
      </c>
      <c r="K83" s="79" t="s">
        <v>63</v>
      </c>
      <c r="L83" s="79" t="s">
        <v>36</v>
      </c>
      <c r="M83" s="79" t="s">
        <v>30</v>
      </c>
      <c r="N83" s="84">
        <v>600</v>
      </c>
      <c r="O83" s="79"/>
      <c r="P83" s="60"/>
      <c r="Q83" s="60"/>
      <c r="S83" s="24"/>
      <c r="T83" s="24"/>
      <c r="U83" s="24"/>
      <c r="V83" s="24"/>
      <c r="W83" s="24"/>
      <c r="X83" s="24"/>
      <c r="Y83" s="24"/>
      <c r="Z83" s="24"/>
      <c r="AA83" s="24"/>
      <c r="AB83" s="24"/>
      <c r="AC83" s="24"/>
      <c r="AD83" s="24"/>
    </row>
    <row r="84" spans="1:30" ht="15" customHeight="1">
      <c r="A84" s="322"/>
      <c r="B84" s="322"/>
      <c r="C84" s="322"/>
      <c r="D84" s="79" t="s">
        <v>67</v>
      </c>
      <c r="E84" s="322"/>
      <c r="F84" s="322"/>
      <c r="G84" s="322"/>
      <c r="H84" s="322"/>
      <c r="I84" s="83" t="s">
        <v>68</v>
      </c>
      <c r="J84" s="79" t="s">
        <v>69</v>
      </c>
      <c r="K84" s="79" t="s">
        <v>31</v>
      </c>
      <c r="L84" s="79" t="s">
        <v>36</v>
      </c>
      <c r="M84" s="79" t="s">
        <v>30</v>
      </c>
      <c r="N84" s="79" t="s">
        <v>31</v>
      </c>
      <c r="O84" s="79"/>
      <c r="P84" s="60"/>
      <c r="Q84" s="60"/>
      <c r="S84" s="24"/>
      <c r="T84" s="24"/>
      <c r="U84" s="24"/>
      <c r="V84" s="24"/>
      <c r="W84" s="24"/>
      <c r="X84" s="24"/>
      <c r="Y84" s="24"/>
      <c r="Z84" s="24"/>
      <c r="AA84" s="24"/>
      <c r="AB84" s="24"/>
      <c r="AC84" s="24"/>
      <c r="AD84" s="24"/>
    </row>
    <row r="85" spans="1:30" ht="15" customHeight="1">
      <c r="A85" s="322"/>
      <c r="B85" s="79" t="s">
        <v>64</v>
      </c>
      <c r="C85" s="79" t="s">
        <v>65</v>
      </c>
      <c r="D85" s="79" t="s">
        <v>30</v>
      </c>
      <c r="E85" s="79" t="s">
        <v>30</v>
      </c>
      <c r="F85" s="79" t="s">
        <v>30</v>
      </c>
      <c r="G85" s="79" t="s">
        <v>30</v>
      </c>
      <c r="H85" s="79" t="s">
        <v>30</v>
      </c>
      <c r="I85" s="79" t="s">
        <v>30</v>
      </c>
      <c r="J85" s="79" t="s">
        <v>30</v>
      </c>
      <c r="K85" s="79" t="s">
        <v>30</v>
      </c>
      <c r="L85" s="79" t="s">
        <v>30</v>
      </c>
      <c r="M85" s="79" t="s">
        <v>30</v>
      </c>
      <c r="N85" s="79" t="s">
        <v>30</v>
      </c>
      <c r="O85" s="79" t="s">
        <v>76</v>
      </c>
      <c r="P85" s="60"/>
      <c r="Q85" s="60"/>
      <c r="S85" s="24"/>
      <c r="T85" s="24"/>
      <c r="U85" s="24"/>
      <c r="V85" s="24"/>
      <c r="W85" s="24"/>
      <c r="X85" s="24"/>
      <c r="Y85" s="24"/>
      <c r="Z85" s="24"/>
      <c r="AA85" s="24"/>
      <c r="AB85" s="24"/>
      <c r="AC85" s="24"/>
      <c r="AD85" s="24"/>
    </row>
    <row r="86" spans="1:30" ht="69.75" customHeight="1">
      <c r="A86" s="322"/>
      <c r="B86" s="79" t="s">
        <v>78</v>
      </c>
      <c r="C86" s="79" t="s">
        <v>79</v>
      </c>
      <c r="D86" s="79" t="s">
        <v>80</v>
      </c>
      <c r="E86" s="79" t="s">
        <v>423</v>
      </c>
      <c r="F86" s="79">
        <v>1</v>
      </c>
      <c r="G86" s="79">
        <v>0</v>
      </c>
      <c r="H86" s="79">
        <v>1</v>
      </c>
      <c r="I86" s="98" t="s">
        <v>424</v>
      </c>
      <c r="J86" s="79" t="s">
        <v>142</v>
      </c>
      <c r="K86" s="88" t="s">
        <v>425</v>
      </c>
      <c r="L86" s="79" t="s">
        <v>82</v>
      </c>
      <c r="M86" s="79" t="s">
        <v>82</v>
      </c>
      <c r="N86" s="79">
        <v>1700</v>
      </c>
      <c r="O86" s="79"/>
      <c r="P86" s="24"/>
      <c r="Q86" s="24"/>
      <c r="S86" s="24"/>
      <c r="T86" s="24"/>
      <c r="U86" s="24"/>
      <c r="V86" s="24"/>
      <c r="W86" s="24"/>
      <c r="X86" s="24"/>
      <c r="Y86" s="24"/>
      <c r="Z86" s="24"/>
      <c r="AA86" s="24"/>
      <c r="AB86" s="24"/>
      <c r="AC86" s="24"/>
      <c r="AD86" s="24"/>
    </row>
    <row r="87" spans="1:30" ht="46.5" customHeight="1">
      <c r="A87" s="322" t="s">
        <v>84</v>
      </c>
      <c r="B87" s="79" t="s">
        <v>85</v>
      </c>
      <c r="C87" s="79" t="s">
        <v>86</v>
      </c>
      <c r="D87" s="79" t="s">
        <v>87</v>
      </c>
      <c r="E87" s="79" t="s">
        <v>88</v>
      </c>
      <c r="F87" s="79" t="s">
        <v>30</v>
      </c>
      <c r="G87" s="79">
        <v>2</v>
      </c>
      <c r="H87" s="79">
        <v>3</v>
      </c>
      <c r="I87" s="98" t="s">
        <v>33</v>
      </c>
      <c r="J87" s="79" t="s">
        <v>667</v>
      </c>
      <c r="K87" s="79" t="s">
        <v>30</v>
      </c>
      <c r="L87" s="88">
        <v>46141</v>
      </c>
      <c r="M87" s="79" t="s">
        <v>30</v>
      </c>
      <c r="N87" s="84">
        <v>855</v>
      </c>
      <c r="O87" s="79" t="s">
        <v>89</v>
      </c>
      <c r="P87" s="24"/>
      <c r="Q87" s="24"/>
      <c r="S87" s="24"/>
      <c r="T87" s="24"/>
      <c r="U87" s="24"/>
      <c r="V87" s="24"/>
      <c r="W87" s="24"/>
      <c r="X87" s="24"/>
      <c r="Y87" s="24"/>
      <c r="Z87" s="24"/>
      <c r="AA87" s="24"/>
      <c r="AB87" s="24"/>
      <c r="AC87" s="24"/>
      <c r="AD87" s="24"/>
    </row>
    <row r="88" spans="1:30" ht="31.5" customHeight="1">
      <c r="A88" s="322"/>
      <c r="B88" s="79" t="s">
        <v>90</v>
      </c>
      <c r="C88" s="79" t="s">
        <v>91</v>
      </c>
      <c r="D88" s="79" t="s">
        <v>30</v>
      </c>
      <c r="E88" s="79"/>
      <c r="F88" s="79" t="s">
        <v>30</v>
      </c>
      <c r="G88" s="79" t="s">
        <v>30</v>
      </c>
      <c r="H88" s="79" t="s">
        <v>30</v>
      </c>
      <c r="I88" s="79" t="s">
        <v>30</v>
      </c>
      <c r="J88" s="79" t="s">
        <v>30</v>
      </c>
      <c r="K88" s="79" t="s">
        <v>30</v>
      </c>
      <c r="L88" s="79" t="s">
        <v>30</v>
      </c>
      <c r="M88" s="79" t="s">
        <v>30</v>
      </c>
      <c r="N88" s="79" t="s">
        <v>30</v>
      </c>
      <c r="O88" s="79" t="s">
        <v>30</v>
      </c>
      <c r="P88" s="60"/>
      <c r="Q88" s="60"/>
      <c r="S88" s="24"/>
      <c r="T88" s="24"/>
      <c r="U88" s="24"/>
      <c r="V88" s="24"/>
      <c r="W88" s="24"/>
      <c r="X88" s="24"/>
      <c r="Y88" s="24"/>
      <c r="Z88" s="24"/>
      <c r="AA88" s="24"/>
      <c r="AB88" s="24"/>
      <c r="AC88" s="24"/>
      <c r="AD88" s="24"/>
    </row>
    <row r="89" spans="1:30" ht="15" customHeight="1">
      <c r="A89" s="322"/>
      <c r="B89" s="79" t="s">
        <v>95</v>
      </c>
      <c r="C89" s="79" t="s">
        <v>96</v>
      </c>
      <c r="D89" s="79" t="s">
        <v>97</v>
      </c>
      <c r="E89" s="79" t="s">
        <v>98</v>
      </c>
      <c r="F89" s="79">
        <v>2</v>
      </c>
      <c r="G89" s="79">
        <v>0</v>
      </c>
      <c r="H89" s="79">
        <v>1</v>
      </c>
      <c r="I89" s="79" t="s">
        <v>97</v>
      </c>
      <c r="J89" s="79" t="s">
        <v>97</v>
      </c>
      <c r="K89" s="79" t="s">
        <v>97</v>
      </c>
      <c r="L89" s="79" t="s">
        <v>97</v>
      </c>
      <c r="M89" s="79" t="s">
        <v>97</v>
      </c>
      <c r="N89" s="79" t="s">
        <v>97</v>
      </c>
      <c r="O89" s="79"/>
      <c r="P89" s="60"/>
      <c r="Q89" s="60"/>
      <c r="S89" s="24"/>
      <c r="T89" s="24"/>
      <c r="U89" s="24"/>
      <c r="V89" s="24"/>
      <c r="W89" s="24"/>
      <c r="X89" s="24"/>
      <c r="Y89" s="24"/>
      <c r="Z89" s="24"/>
      <c r="AA89" s="24"/>
      <c r="AB89" s="24"/>
      <c r="AC89" s="24"/>
      <c r="AD89" s="24"/>
    </row>
    <row r="90" spans="1:30">
      <c r="A90" s="322" t="s">
        <v>99</v>
      </c>
      <c r="B90" s="79" t="s">
        <v>100</v>
      </c>
      <c r="C90" s="322" t="s">
        <v>668</v>
      </c>
      <c r="D90" s="322" t="s">
        <v>97</v>
      </c>
      <c r="E90" s="322" t="s">
        <v>669</v>
      </c>
      <c r="F90" s="322"/>
      <c r="G90" s="79"/>
      <c r="H90" s="79"/>
      <c r="I90" s="322" t="s">
        <v>97</v>
      </c>
      <c r="J90" s="322" t="s">
        <v>97</v>
      </c>
      <c r="K90" s="322" t="s">
        <v>97</v>
      </c>
      <c r="L90" s="322" t="s">
        <v>97</v>
      </c>
      <c r="M90" s="322" t="s">
        <v>97</v>
      </c>
      <c r="N90" s="322" t="s">
        <v>97</v>
      </c>
      <c r="O90" s="322"/>
      <c r="P90" s="60"/>
      <c r="Q90" s="60"/>
      <c r="S90" s="24"/>
      <c r="T90" s="24"/>
      <c r="U90" s="24"/>
      <c r="V90" s="24"/>
      <c r="W90" s="24"/>
      <c r="X90" s="24"/>
      <c r="Y90" s="24"/>
      <c r="Z90" s="24"/>
      <c r="AA90" s="24"/>
      <c r="AB90" s="24"/>
      <c r="AC90" s="24"/>
      <c r="AD90" s="24"/>
    </row>
    <row r="91" spans="1:30" ht="21.75" customHeight="1">
      <c r="A91" s="322"/>
      <c r="B91" s="79" t="s">
        <v>103</v>
      </c>
      <c r="C91" s="322"/>
      <c r="D91" s="322"/>
      <c r="E91" s="322"/>
      <c r="F91" s="322"/>
      <c r="G91" s="79"/>
      <c r="H91" s="79"/>
      <c r="I91" s="322"/>
      <c r="J91" s="322"/>
      <c r="K91" s="322"/>
      <c r="L91" s="322"/>
      <c r="M91" s="322"/>
      <c r="N91" s="322"/>
      <c r="O91" s="322"/>
      <c r="P91" s="60"/>
      <c r="Q91" s="60"/>
      <c r="S91" s="24"/>
      <c r="T91" s="24"/>
      <c r="U91" s="24"/>
      <c r="V91" s="24"/>
      <c r="W91" s="24"/>
      <c r="X91" s="24"/>
      <c r="Y91" s="24"/>
      <c r="Z91" s="24"/>
      <c r="AA91" s="24"/>
      <c r="AB91" s="24"/>
      <c r="AC91" s="24"/>
      <c r="AD91" s="24"/>
    </row>
    <row r="92" spans="1:30" ht="15" customHeight="1">
      <c r="A92" s="322"/>
      <c r="B92" s="79" t="s">
        <v>100</v>
      </c>
      <c r="C92" s="322" t="s">
        <v>104</v>
      </c>
      <c r="D92" s="322" t="s">
        <v>105</v>
      </c>
      <c r="E92" s="322" t="s">
        <v>106</v>
      </c>
      <c r="F92" s="79">
        <v>1</v>
      </c>
      <c r="G92" s="79">
        <v>1</v>
      </c>
      <c r="H92" s="79">
        <v>2</v>
      </c>
      <c r="I92" s="322" t="s">
        <v>107</v>
      </c>
      <c r="J92" s="322" t="s">
        <v>97</v>
      </c>
      <c r="K92" s="322" t="s">
        <v>97</v>
      </c>
      <c r="L92" s="322" t="s">
        <v>97</v>
      </c>
      <c r="M92" s="322" t="s">
        <v>97</v>
      </c>
      <c r="N92" s="322" t="s">
        <v>97</v>
      </c>
      <c r="O92" s="322"/>
      <c r="P92" s="60"/>
      <c r="Q92" s="60"/>
      <c r="S92" s="24"/>
      <c r="T92" s="24"/>
      <c r="U92" s="24"/>
      <c r="V92" s="24"/>
      <c r="W92" s="24"/>
      <c r="X92" s="24"/>
      <c r="Y92" s="24"/>
      <c r="Z92" s="24"/>
      <c r="AA92" s="24"/>
      <c r="AB92" s="24"/>
      <c r="AC92" s="24"/>
      <c r="AD92" s="24"/>
    </row>
    <row r="93" spans="1:30" ht="36" customHeight="1">
      <c r="A93" s="322"/>
      <c r="B93" s="79" t="s">
        <v>103</v>
      </c>
      <c r="C93" s="322"/>
      <c r="D93" s="322"/>
      <c r="E93" s="322"/>
      <c r="F93" s="79">
        <v>2</v>
      </c>
      <c r="G93" s="79">
        <v>0</v>
      </c>
      <c r="H93" s="79">
        <v>1</v>
      </c>
      <c r="I93" s="322"/>
      <c r="J93" s="322"/>
      <c r="K93" s="322"/>
      <c r="L93" s="322"/>
      <c r="M93" s="322"/>
      <c r="N93" s="322"/>
      <c r="O93" s="322"/>
      <c r="P93" s="60"/>
      <c r="Q93" s="60"/>
      <c r="S93" s="24"/>
      <c r="T93" s="24"/>
      <c r="U93" s="24"/>
      <c r="V93" s="24"/>
      <c r="W93" s="24"/>
      <c r="X93" s="24"/>
      <c r="Y93" s="24"/>
      <c r="Z93" s="24"/>
      <c r="AA93" s="24"/>
      <c r="AB93" s="24"/>
      <c r="AC93" s="24"/>
      <c r="AD93" s="24"/>
    </row>
    <row r="94" spans="1:30" ht="15" customHeight="1">
      <c r="A94" s="322"/>
      <c r="B94" s="79" t="s">
        <v>110</v>
      </c>
      <c r="C94" s="322" t="s">
        <v>111</v>
      </c>
      <c r="D94" s="322" t="s">
        <v>112</v>
      </c>
      <c r="E94" s="322" t="s">
        <v>113</v>
      </c>
      <c r="F94" s="322">
        <v>1</v>
      </c>
      <c r="G94" s="79">
        <v>0</v>
      </c>
      <c r="H94" s="79">
        <v>1</v>
      </c>
      <c r="I94" s="322" t="s">
        <v>107</v>
      </c>
      <c r="J94" s="322" t="s">
        <v>97</v>
      </c>
      <c r="K94" s="322" t="s">
        <v>97</v>
      </c>
      <c r="L94" s="322" t="s">
        <v>97</v>
      </c>
      <c r="M94" s="322" t="s">
        <v>97</v>
      </c>
      <c r="N94" s="322" t="s">
        <v>97</v>
      </c>
      <c r="O94" s="322"/>
      <c r="P94" s="60"/>
      <c r="Q94" s="60"/>
      <c r="S94" s="24"/>
      <c r="T94" s="24"/>
      <c r="U94" s="24"/>
      <c r="V94" s="24"/>
      <c r="W94" s="24"/>
      <c r="X94" s="24"/>
      <c r="Y94" s="24"/>
      <c r="Z94" s="24"/>
      <c r="AA94" s="24"/>
      <c r="AB94" s="24"/>
      <c r="AC94" s="24"/>
      <c r="AD94" s="24"/>
    </row>
    <row r="95" spans="1:30">
      <c r="A95" s="322"/>
      <c r="B95" s="79" t="s">
        <v>115</v>
      </c>
      <c r="C95" s="322"/>
      <c r="D95" s="322"/>
      <c r="E95" s="322"/>
      <c r="F95" s="322"/>
      <c r="G95" s="79">
        <v>0</v>
      </c>
      <c r="H95" s="79">
        <v>1</v>
      </c>
      <c r="I95" s="322"/>
      <c r="J95" s="322"/>
      <c r="K95" s="322"/>
      <c r="L95" s="322"/>
      <c r="M95" s="322"/>
      <c r="N95" s="322"/>
      <c r="O95" s="322"/>
      <c r="P95" s="60"/>
      <c r="Q95" s="60"/>
      <c r="S95" s="24"/>
      <c r="T95" s="24"/>
      <c r="U95" s="24"/>
      <c r="V95" s="24"/>
      <c r="W95" s="24"/>
      <c r="X95" s="24"/>
      <c r="Y95" s="24"/>
      <c r="Z95" s="24"/>
      <c r="AA95" s="24"/>
      <c r="AB95" s="24"/>
      <c r="AC95" s="24"/>
      <c r="AD95" s="24"/>
    </row>
    <row r="96" spans="1:30">
      <c r="A96" s="322"/>
      <c r="B96" s="79" t="s">
        <v>116</v>
      </c>
      <c r="C96" s="322"/>
      <c r="D96" s="322"/>
      <c r="E96" s="322"/>
      <c r="F96" s="322"/>
      <c r="G96" s="79">
        <v>0</v>
      </c>
      <c r="H96" s="79">
        <v>1</v>
      </c>
      <c r="I96" s="322"/>
      <c r="J96" s="322"/>
      <c r="K96" s="322"/>
      <c r="L96" s="322"/>
      <c r="M96" s="322"/>
      <c r="N96" s="322"/>
      <c r="O96" s="79"/>
      <c r="P96" s="60"/>
      <c r="Q96" s="60"/>
      <c r="S96" s="24"/>
      <c r="T96" s="24"/>
      <c r="U96" s="24"/>
      <c r="V96" s="24"/>
      <c r="W96" s="24"/>
      <c r="X96" s="24"/>
      <c r="Y96" s="24"/>
      <c r="Z96" s="24"/>
      <c r="AA96" s="24"/>
      <c r="AB96" s="24"/>
      <c r="AC96" s="24"/>
      <c r="AD96" s="24"/>
    </row>
    <row r="97" spans="1:30" ht="60">
      <c r="A97" s="79"/>
      <c r="B97" s="79" t="s">
        <v>244</v>
      </c>
      <c r="C97" s="79" t="s">
        <v>245</v>
      </c>
      <c r="D97" s="79" t="s">
        <v>245</v>
      </c>
      <c r="E97" s="79" t="s">
        <v>246</v>
      </c>
      <c r="F97" s="79"/>
      <c r="G97" s="79"/>
      <c r="H97" s="79"/>
      <c r="I97" s="25" t="s">
        <v>247</v>
      </c>
      <c r="J97" t="s">
        <v>248</v>
      </c>
      <c r="K97" s="79">
        <v>4</v>
      </c>
      <c r="L97" s="79" t="s">
        <v>251</v>
      </c>
      <c r="M97" s="79"/>
      <c r="N97" s="79">
        <v>90.16</v>
      </c>
      <c r="O97" s="79"/>
      <c r="P97" s="60"/>
      <c r="Q97" s="60"/>
      <c r="S97" s="24"/>
      <c r="T97" s="24"/>
      <c r="U97" s="24"/>
      <c r="V97" s="24"/>
      <c r="W97" s="24"/>
      <c r="X97" s="24"/>
      <c r="Y97" s="24"/>
      <c r="Z97" s="24"/>
      <c r="AA97" s="24"/>
      <c r="AB97" s="24"/>
      <c r="AC97" s="24"/>
      <c r="AD97" s="24"/>
    </row>
    <row r="98" spans="1:30">
      <c r="A98" s="79"/>
      <c r="B98" s="79"/>
      <c r="C98" s="79"/>
      <c r="D98" s="79"/>
      <c r="E98" s="79"/>
      <c r="F98" s="79"/>
      <c r="G98" s="79"/>
      <c r="H98" s="79"/>
      <c r="I98" s="79"/>
      <c r="J98" s="79"/>
      <c r="K98" s="79"/>
      <c r="L98" s="79"/>
      <c r="M98" s="79"/>
      <c r="N98" s="79"/>
      <c r="O98" s="79"/>
      <c r="P98" s="60"/>
      <c r="Q98" s="60"/>
      <c r="S98" s="24"/>
      <c r="T98" s="24"/>
      <c r="U98" s="24"/>
      <c r="V98" s="24"/>
      <c r="W98" s="24"/>
      <c r="X98" s="24"/>
      <c r="Y98" s="24"/>
      <c r="Z98" s="24"/>
      <c r="AA98" s="24"/>
      <c r="AB98" s="24"/>
      <c r="AC98" s="24"/>
      <c r="AD98" s="24"/>
    </row>
    <row r="99" spans="1:30">
      <c r="A99" s="79"/>
      <c r="B99" s="79"/>
      <c r="C99" s="79"/>
      <c r="D99" s="79"/>
      <c r="E99" s="79"/>
      <c r="F99" s="79"/>
      <c r="G99" s="79"/>
      <c r="H99" s="79"/>
      <c r="I99" s="79"/>
      <c r="J99" s="79"/>
      <c r="K99" s="79"/>
      <c r="L99" s="79"/>
      <c r="M99" s="79"/>
      <c r="N99" s="79"/>
      <c r="O99" s="79"/>
      <c r="P99" s="60"/>
      <c r="Q99" s="60"/>
      <c r="S99" s="24"/>
      <c r="T99" s="24"/>
      <c r="U99" s="24"/>
      <c r="V99" s="24"/>
      <c r="W99" s="24"/>
      <c r="X99" s="24"/>
      <c r="Y99" s="24"/>
      <c r="Z99" s="24"/>
      <c r="AA99" s="24"/>
      <c r="AB99" s="24"/>
      <c r="AC99" s="24"/>
      <c r="AD99" s="24"/>
    </row>
    <row r="100" spans="1:30">
      <c r="A100" s="79"/>
      <c r="B100" s="79"/>
      <c r="C100" s="79"/>
      <c r="D100" s="79"/>
      <c r="E100" s="79"/>
      <c r="F100" s="79"/>
      <c r="G100" s="79"/>
      <c r="H100" s="79"/>
      <c r="I100" s="79"/>
      <c r="J100" s="79"/>
      <c r="K100" s="79"/>
      <c r="L100" s="79"/>
      <c r="M100" s="79"/>
      <c r="N100" s="79"/>
      <c r="O100" s="79"/>
      <c r="P100" s="60"/>
      <c r="Q100" s="60"/>
      <c r="S100" s="24"/>
      <c r="T100" s="24"/>
      <c r="U100" s="24"/>
      <c r="V100" s="24"/>
      <c r="W100" s="24"/>
      <c r="X100" s="24"/>
      <c r="Y100" s="24"/>
      <c r="Z100" s="24"/>
      <c r="AA100" s="24"/>
      <c r="AB100" s="24"/>
      <c r="AC100" s="24"/>
      <c r="AD100" s="24"/>
    </row>
    <row r="101" spans="1:30">
      <c r="A101" s="79"/>
      <c r="B101" s="79"/>
      <c r="C101" s="79"/>
      <c r="D101" s="79"/>
      <c r="E101" s="79"/>
      <c r="F101" s="79"/>
      <c r="G101" s="79"/>
      <c r="H101" s="79"/>
      <c r="I101" s="79"/>
      <c r="J101" s="79"/>
      <c r="K101" s="79"/>
      <c r="L101" s="79"/>
      <c r="M101" s="79"/>
      <c r="N101" s="79"/>
      <c r="O101" s="79"/>
      <c r="P101" s="60"/>
      <c r="Q101" s="60"/>
      <c r="S101" s="24"/>
      <c r="T101" s="24"/>
      <c r="U101" s="24"/>
      <c r="V101" s="24"/>
      <c r="W101" s="24"/>
      <c r="X101" s="24"/>
      <c r="Y101" s="24"/>
      <c r="Z101" s="24"/>
      <c r="AA101" s="24"/>
      <c r="AB101" s="24"/>
      <c r="AC101" s="24"/>
      <c r="AD101" s="24"/>
    </row>
    <row r="102" spans="1:30">
      <c r="A102" s="79"/>
      <c r="B102" s="79"/>
      <c r="C102" s="79"/>
      <c r="D102" s="79"/>
      <c r="E102" s="79"/>
      <c r="F102" s="79"/>
      <c r="G102" s="79"/>
      <c r="H102" s="79"/>
      <c r="I102" s="79"/>
      <c r="J102" s="79"/>
      <c r="K102" s="79"/>
      <c r="L102" s="79"/>
      <c r="M102" s="79"/>
      <c r="N102" s="79"/>
      <c r="O102" s="79"/>
      <c r="P102" s="60"/>
      <c r="Q102" s="60"/>
      <c r="S102" s="24"/>
      <c r="T102" s="24"/>
      <c r="U102" s="24"/>
      <c r="V102" s="24"/>
      <c r="W102" s="24"/>
      <c r="X102" s="24"/>
      <c r="Y102" s="24"/>
      <c r="Z102" s="24"/>
      <c r="AA102" s="24"/>
      <c r="AB102" s="24"/>
      <c r="AC102" s="24"/>
      <c r="AD102" s="24"/>
    </row>
    <row r="103" spans="1:30">
      <c r="A103" s="79"/>
      <c r="B103" s="79"/>
      <c r="C103" s="79"/>
      <c r="D103" s="79"/>
      <c r="E103" s="79"/>
      <c r="F103" s="79"/>
      <c r="G103" s="79"/>
      <c r="H103" s="79"/>
      <c r="I103" s="79"/>
      <c r="J103" s="79"/>
      <c r="K103" s="79"/>
      <c r="L103" s="79"/>
      <c r="M103" s="79"/>
      <c r="N103" s="79"/>
      <c r="O103" s="79"/>
      <c r="P103" s="60"/>
      <c r="Q103" s="60"/>
      <c r="S103" s="24"/>
      <c r="T103" s="24"/>
      <c r="U103" s="24"/>
      <c r="V103" s="24"/>
      <c r="W103" s="24"/>
      <c r="X103" s="24"/>
      <c r="Y103" s="24"/>
      <c r="Z103" s="24"/>
      <c r="AA103" s="24"/>
      <c r="AB103" s="24"/>
      <c r="AC103" s="24"/>
      <c r="AD103" s="24"/>
    </row>
    <row r="104" spans="1:30">
      <c r="A104" s="79"/>
      <c r="B104" s="79"/>
      <c r="C104" s="79"/>
      <c r="D104" s="79"/>
      <c r="E104" s="79"/>
      <c r="F104" s="79"/>
      <c r="G104" s="79"/>
      <c r="H104" s="79"/>
      <c r="I104" s="79"/>
      <c r="J104" s="79"/>
      <c r="K104" s="79"/>
      <c r="L104" s="79"/>
      <c r="M104" s="79"/>
      <c r="N104" s="79"/>
      <c r="O104" s="79"/>
      <c r="P104" s="60"/>
      <c r="Q104" s="60"/>
      <c r="S104" s="24"/>
      <c r="T104" s="24"/>
      <c r="U104" s="24"/>
      <c r="V104" s="24"/>
      <c r="W104" s="24"/>
      <c r="X104" s="24"/>
      <c r="Y104" s="24"/>
      <c r="Z104" s="24"/>
      <c r="AA104" s="24"/>
      <c r="AB104" s="24"/>
      <c r="AC104" s="24"/>
      <c r="AD104" s="24"/>
    </row>
    <row r="105" spans="1:30">
      <c r="A105" s="79"/>
      <c r="B105" s="79"/>
      <c r="C105" s="79"/>
      <c r="D105" s="79"/>
      <c r="E105" s="79"/>
      <c r="F105" s="79"/>
      <c r="G105" s="79"/>
      <c r="H105" s="79"/>
      <c r="I105" s="79"/>
      <c r="J105" s="79"/>
      <c r="K105" s="79"/>
      <c r="L105" s="79"/>
      <c r="M105" s="79"/>
      <c r="N105" s="79"/>
      <c r="O105" s="79"/>
    </row>
    <row r="106" spans="1:30">
      <c r="A106" s="79"/>
      <c r="B106" s="79"/>
      <c r="C106" s="79"/>
      <c r="D106" s="79"/>
      <c r="E106" s="79"/>
      <c r="F106" s="79"/>
      <c r="G106" s="79"/>
      <c r="H106" s="79"/>
      <c r="I106" s="79"/>
      <c r="J106" s="79"/>
      <c r="K106" s="79"/>
      <c r="L106" s="79"/>
      <c r="M106" s="79"/>
      <c r="N106" s="79"/>
      <c r="O106" s="79"/>
    </row>
    <row r="107" spans="1:30">
      <c r="A107" s="79"/>
      <c r="B107" s="79"/>
      <c r="C107" s="79"/>
      <c r="D107" s="79"/>
      <c r="E107" s="79"/>
      <c r="F107" s="79"/>
      <c r="G107" s="79"/>
      <c r="H107" s="79"/>
      <c r="I107" s="79"/>
      <c r="J107" s="79"/>
      <c r="K107" s="79"/>
      <c r="L107" s="79"/>
      <c r="M107" s="79"/>
      <c r="N107" s="79"/>
      <c r="O107" s="79"/>
    </row>
    <row r="108" spans="1:30">
      <c r="A108" s="79"/>
      <c r="B108" s="79"/>
      <c r="C108" s="79"/>
      <c r="D108" s="79"/>
      <c r="E108" s="79"/>
      <c r="F108" s="79"/>
      <c r="G108" s="79"/>
      <c r="H108" s="79"/>
      <c r="I108" s="79"/>
      <c r="J108" s="79"/>
      <c r="K108" s="79"/>
      <c r="L108" s="79"/>
      <c r="M108" s="79"/>
      <c r="N108" s="79"/>
      <c r="O108" s="79"/>
    </row>
    <row r="109" spans="1:30">
      <c r="A109" s="79"/>
      <c r="B109" s="79"/>
      <c r="C109" s="79"/>
      <c r="D109" s="79"/>
      <c r="E109" s="79"/>
      <c r="F109" s="79"/>
      <c r="G109" s="79"/>
      <c r="H109" s="79"/>
      <c r="I109" s="79"/>
      <c r="J109" s="79"/>
      <c r="K109" s="79"/>
      <c r="L109" s="79"/>
      <c r="M109" s="79"/>
      <c r="N109" s="79"/>
      <c r="O109" s="79"/>
    </row>
    <row r="110" spans="1:30">
      <c r="A110" s="79"/>
      <c r="B110" s="79"/>
      <c r="C110" s="79"/>
      <c r="D110" s="79"/>
      <c r="E110" s="79"/>
      <c r="F110" s="79"/>
      <c r="G110" s="79"/>
      <c r="H110" s="79"/>
      <c r="I110" s="79"/>
      <c r="J110" s="79"/>
      <c r="K110" s="79"/>
      <c r="L110" s="79"/>
      <c r="M110" s="79"/>
      <c r="N110" s="79"/>
      <c r="O110" s="79"/>
    </row>
    <row r="111" spans="1:30">
      <c r="A111" s="79"/>
      <c r="B111" s="79"/>
      <c r="C111" s="79"/>
      <c r="D111" s="79"/>
      <c r="E111" s="79"/>
      <c r="F111" s="79"/>
      <c r="G111" s="79"/>
      <c r="H111" s="79"/>
      <c r="I111" s="79"/>
      <c r="J111" s="79"/>
      <c r="K111" s="79"/>
      <c r="L111" s="79"/>
      <c r="M111" s="79"/>
      <c r="N111" s="79"/>
      <c r="O111" s="79"/>
    </row>
    <row r="112" spans="1:30">
      <c r="A112" s="79"/>
      <c r="B112" s="79"/>
      <c r="C112" s="79"/>
      <c r="D112" s="79"/>
      <c r="E112" s="79"/>
      <c r="F112" s="79"/>
      <c r="G112" s="79"/>
      <c r="H112" s="79"/>
      <c r="I112" s="79"/>
      <c r="J112" s="79"/>
      <c r="K112" s="79"/>
      <c r="L112" s="79"/>
      <c r="M112" s="79"/>
      <c r="N112" s="79"/>
      <c r="O112" s="79"/>
    </row>
    <row r="113" spans="1:15">
      <c r="A113" s="79"/>
      <c r="B113" s="79"/>
      <c r="C113" s="79"/>
      <c r="D113" s="79"/>
      <c r="E113" s="79"/>
      <c r="F113" s="79"/>
      <c r="G113" s="79"/>
      <c r="H113" s="79"/>
      <c r="I113" s="79"/>
      <c r="J113" s="79"/>
      <c r="K113" s="79"/>
      <c r="L113" s="79"/>
      <c r="M113" s="79"/>
      <c r="N113" s="79"/>
      <c r="O113" s="79"/>
    </row>
  </sheetData>
  <autoFilter ref="A1:AC67" xr:uid="{00000000-0001-0000-0000-000000000000}"/>
  <mergeCells count="148">
    <mergeCell ref="A2:A9"/>
    <mergeCell ref="A21:A25"/>
    <mergeCell ref="A29:A40"/>
    <mergeCell ref="A41:A44"/>
    <mergeCell ref="A45:A51"/>
    <mergeCell ref="E39:E40"/>
    <mergeCell ref="E45:E46"/>
    <mergeCell ref="E41:E42"/>
    <mergeCell ref="E43:E44"/>
    <mergeCell ref="A10:A19"/>
    <mergeCell ref="C5:C7"/>
    <mergeCell ref="B5:B8"/>
    <mergeCell ref="E32:E33"/>
    <mergeCell ref="C30:C31"/>
    <mergeCell ref="E30:E31"/>
    <mergeCell ref="E5:E7"/>
    <mergeCell ref="D5:D7"/>
    <mergeCell ref="D10:D11"/>
    <mergeCell ref="E14:E17"/>
    <mergeCell ref="E10:E11"/>
    <mergeCell ref="B23:B28"/>
    <mergeCell ref="C23:C28"/>
    <mergeCell ref="D23:D28"/>
    <mergeCell ref="E23:E28"/>
    <mergeCell ref="AC41:AC42"/>
    <mergeCell ref="T32:T33"/>
    <mergeCell ref="S32:S33"/>
    <mergeCell ref="F32:F33"/>
    <mergeCell ref="C32:C33"/>
    <mergeCell ref="B32:B33"/>
    <mergeCell ref="U29:U39"/>
    <mergeCell ref="U41:U44"/>
    <mergeCell ref="O41:O42"/>
    <mergeCell ref="F39:F40"/>
    <mergeCell ref="G39:G40"/>
    <mergeCell ref="F30:F31"/>
    <mergeCell ref="W16:W17"/>
    <mergeCell ref="V16:V17"/>
    <mergeCell ref="B34:B38"/>
    <mergeCell ref="P34:P39"/>
    <mergeCell ref="F34:F35"/>
    <mergeCell ref="E34:E38"/>
    <mergeCell ref="C39:C40"/>
    <mergeCell ref="B39:B40"/>
    <mergeCell ref="T14:T17"/>
    <mergeCell ref="J16:J17"/>
    <mergeCell ref="G14:G17"/>
    <mergeCell ref="C34:C37"/>
    <mergeCell ref="D14:D17"/>
    <mergeCell ref="F23:F28"/>
    <mergeCell ref="G23:G28"/>
    <mergeCell ref="H23:H28"/>
    <mergeCell ref="V5:V7"/>
    <mergeCell ref="T5:T7"/>
    <mergeCell ref="F5:F7"/>
    <mergeCell ref="S5:S7"/>
    <mergeCell ref="G5:G7"/>
    <mergeCell ref="H5:H7"/>
    <mergeCell ref="F14:F17"/>
    <mergeCell ref="P14:P17"/>
    <mergeCell ref="K10:K11"/>
    <mergeCell ref="U2:U9"/>
    <mergeCell ref="U10:U19"/>
    <mergeCell ref="N10:N11"/>
    <mergeCell ref="L10:L11"/>
    <mergeCell ref="M10:M11"/>
    <mergeCell ref="I10:I11"/>
    <mergeCell ref="J10:J11"/>
    <mergeCell ref="O10:O11"/>
    <mergeCell ref="S14:S17"/>
    <mergeCell ref="H14:H17"/>
    <mergeCell ref="U52:U67"/>
    <mergeCell ref="S23:S25"/>
    <mergeCell ref="T23:T25"/>
    <mergeCell ref="E52:E67"/>
    <mergeCell ref="D52:D67"/>
    <mergeCell ref="U45:U51"/>
    <mergeCell ref="H34:H35"/>
    <mergeCell ref="G34:G35"/>
    <mergeCell ref="P32:P33"/>
    <mergeCell ref="U21:U25"/>
    <mergeCell ref="G32:G33"/>
    <mergeCell ref="H32:H33"/>
    <mergeCell ref="D45:D46"/>
    <mergeCell ref="K45:K46"/>
    <mergeCell ref="L45:L46"/>
    <mergeCell ref="H39:H40"/>
    <mergeCell ref="O45:O46"/>
    <mergeCell ref="O43:O44"/>
    <mergeCell ref="N45:N46"/>
    <mergeCell ref="N94:N96"/>
    <mergeCell ref="O94:O95"/>
    <mergeCell ref="I94:I96"/>
    <mergeCell ref="J94:J96"/>
    <mergeCell ref="K94:K96"/>
    <mergeCell ref="L94:L96"/>
    <mergeCell ref="M94:M96"/>
    <mergeCell ref="N90:N91"/>
    <mergeCell ref="O90:O91"/>
    <mergeCell ref="O92:O93"/>
    <mergeCell ref="I90:I91"/>
    <mergeCell ref="J90:J91"/>
    <mergeCell ref="K90:K91"/>
    <mergeCell ref="L90:L91"/>
    <mergeCell ref="M90:M91"/>
    <mergeCell ref="N92:N93"/>
    <mergeCell ref="A90:A96"/>
    <mergeCell ref="C90:C91"/>
    <mergeCell ref="D90:D91"/>
    <mergeCell ref="E90:E91"/>
    <mergeCell ref="F90:F91"/>
    <mergeCell ref="C94:C96"/>
    <mergeCell ref="D94:D96"/>
    <mergeCell ref="E94:E96"/>
    <mergeCell ref="F94:F96"/>
    <mergeCell ref="C79:C80"/>
    <mergeCell ref="E79:E80"/>
    <mergeCell ref="C81:C82"/>
    <mergeCell ref="E81:E82"/>
    <mergeCell ref="G83:G84"/>
    <mergeCell ref="H83:H84"/>
    <mergeCell ref="E83:E84"/>
    <mergeCell ref="F83:F84"/>
    <mergeCell ref="A87:A89"/>
    <mergeCell ref="A52:A77"/>
    <mergeCell ref="B68:B77"/>
    <mergeCell ref="C68:C77"/>
    <mergeCell ref="B10:B13"/>
    <mergeCell ref="I92:I93"/>
    <mergeCell ref="J92:J93"/>
    <mergeCell ref="K92:K93"/>
    <mergeCell ref="L92:L93"/>
    <mergeCell ref="M92:M93"/>
    <mergeCell ref="C92:C93"/>
    <mergeCell ref="D92:D93"/>
    <mergeCell ref="E92:E93"/>
    <mergeCell ref="C14:C17"/>
    <mergeCell ref="B14:B18"/>
    <mergeCell ref="B29:B31"/>
    <mergeCell ref="F81:F82"/>
    <mergeCell ref="B83:B84"/>
    <mergeCell ref="C83:C84"/>
    <mergeCell ref="G30:G31"/>
    <mergeCell ref="H30:H31"/>
    <mergeCell ref="I45:I46"/>
    <mergeCell ref="J45:J46"/>
    <mergeCell ref="M45:M46"/>
    <mergeCell ref="A79:A86"/>
  </mergeCells>
  <dataValidations count="4">
    <dataValidation type="list" allowBlank="1" showInputMessage="1" showErrorMessage="1" sqref="S18:T23 S29:T32 G18:H23 S9:T14 G29:H30 G32:H32 G34:H34 G41:H44 S2:T5 G4:H5 G9:H12 G14:H14 G38:H39 S34:T44" xr:uid="{BEF4CB9A-FF58-4731-B3C7-80E61331EBED}">
      <formula1>"0,1,2,3"</formula1>
    </dataValidation>
    <dataValidation type="list" allowBlank="1" showInputMessage="1" showErrorMessage="1" sqref="V9:V16 V2:V5 V18:V78" xr:uid="{CB52640B-811B-4540-BBCF-729EE2B8AEE9}">
      <formula1>"interno,esterno"</formula1>
    </dataValidation>
    <dataValidation type="list" allowBlank="1" showInputMessage="1" showErrorMessage="1" sqref="AD2:AD51" xr:uid="{63FB0892-F824-44D3-984F-06A622DC8DB8}">
      <formula1>"in corso, proposta, confermato, concluso"</formula1>
    </dataValidation>
    <dataValidation type="list" allowBlank="1" showErrorMessage="1" sqref="S52:T78 G52:H78" xr:uid="{09F6B9B4-B662-4C07-9A5C-01271E755E6E}">
      <formula1>"0,1,2,3"</formula1>
    </dataValidation>
  </dataValidations>
  <hyperlinks>
    <hyperlink ref="X4" r:id="rId1" xr:uid="{BE2A6A8C-A6E7-4A14-B1C9-21BC8D848CE5}"/>
    <hyperlink ref="X5" r:id="rId2" xr:uid="{171A1270-70F9-4A17-B6B2-003154988D0E}"/>
    <hyperlink ref="X6" r:id="rId3" xr:uid="{5ABF05C0-AA48-40FD-A8DA-9F1E8F335BBA}"/>
    <hyperlink ref="X7" r:id="rId4" xr:uid="{8295AB4B-0942-4E55-8C10-0808243B32DF}"/>
    <hyperlink ref="X9" r:id="rId5" xr:uid="{89F01046-F04F-4CA1-8048-55B6562C6999}"/>
    <hyperlink ref="X23" r:id="rId6" location="panoramica" display="Corso Intensivo Progettare i sistemi di formazione e sviluppo delle risorse umane - POLIMI GSoM" xr:uid="{70BF19FE-5F2C-44CD-8F9B-816C978BAA5F}"/>
    <hyperlink ref="X24" r:id="rId7" xr:uid="{52A964FD-9211-4ADA-A016-AA84A5FEF3A9}"/>
    <hyperlink ref="X29" r:id="rId8" xr:uid="{8DED0B71-5C52-43A9-8220-8F0EEDAE0564}"/>
    <hyperlink ref="X30" r:id="rId9" xr:uid="{31594973-B205-4609-80AE-5605C11BD749}"/>
    <hyperlink ref="X32" r:id="rId10" xr:uid="{2E7ADFA4-2D5E-4A4D-8FAF-545404356FD4}"/>
    <hyperlink ref="X33" r:id="rId11" xr:uid="{EC63019C-815C-4341-BA75-4694B2CBF570}"/>
    <hyperlink ref="X34" r:id="rId12" xr:uid="{92FAF858-A2BF-49EC-AB96-4F7BB0D8C8D4}"/>
    <hyperlink ref="X38" r:id="rId13" xr:uid="{A36910C9-BBC2-4144-BE1E-472211109B18}"/>
    <hyperlink ref="X39" r:id="rId14" xr:uid="{03690F00-F00F-4B1E-83CD-176410CDF88F}"/>
    <hyperlink ref="X45" r:id="rId15" xr:uid="{9CB84543-45E0-4C66-85AA-9F1CD4D3D0F1}"/>
    <hyperlink ref="X47" r:id="rId16" xr:uid="{B3C60807-B497-4535-BE49-CB544D7DBD4F}"/>
    <hyperlink ref="X48" r:id="rId17" xr:uid="{DE726E04-CD72-4B65-A971-92BB0FFACEE4}"/>
    <hyperlink ref="X49" r:id="rId18" xr:uid="{92CC0FF3-5D0B-4885-BEE6-8AA9E5F316EF}"/>
    <hyperlink ref="X50" r:id="rId19" xr:uid="{7591EC0E-5DED-4586-8B69-93C4F11281B0}"/>
    <hyperlink ref="X51" r:id="rId20" xr:uid="{8B8247F1-CCD2-4C38-810D-045A84A807A1}"/>
    <hyperlink ref="U2" r:id="rId21" xr:uid="{FBF31FBB-A57C-439A-9AE5-FC8D2718C905}"/>
    <hyperlink ref="U10" r:id="rId22" xr:uid="{DDC89625-133B-4AE5-A21E-FE1C0CA815CC}"/>
    <hyperlink ref="U21" r:id="rId23" xr:uid="{87972178-AF9D-467F-891B-723B01CAB476}"/>
    <hyperlink ref="U29" r:id="rId24" xr:uid="{C4ACD4C1-B96B-4322-A949-4CF0CD65F6E4}"/>
    <hyperlink ref="U41" r:id="rId25" xr:uid="{9646CE98-B768-4815-B375-4A29992283A8}"/>
    <hyperlink ref="U52" r:id="rId26" xr:uid="{DCC8F148-A3C3-4053-AAF0-1C72FA95715D}"/>
    <hyperlink ref="X15" r:id="rId27" xr:uid="{6FB25C76-DE17-49DB-9163-EF4E4217B0DA}"/>
    <hyperlink ref="X16" r:id="rId28" xr:uid="{9A9DECE8-21E4-429B-B6FC-08E70ACA31AB}"/>
    <hyperlink ref="X17" r:id="rId29" display="GAQM" xr:uid="{30197365-CCE5-4567-8146-30D4410524A1}"/>
    <hyperlink ref="X46" r:id="rId30" xr:uid="{2EAC3C9A-A813-4BA7-9923-3D55CBBF4BED}"/>
    <hyperlink ref="AC51" r:id="rId31" xr:uid="{671B41C4-DBD9-4C1B-A952-2258645584A7}"/>
    <hyperlink ref="U45:U51" r:id="rId32" display="Matrice compliance " xr:uid="{69486586-DC45-4CB0-A8C6-4AEE3D94D1C8}"/>
    <hyperlink ref="O51" r:id="rId33" xr:uid="{09CA846E-2B32-4880-B14C-5CAF2F3BC1F9}"/>
    <hyperlink ref="I4" r:id="rId34" xr:uid="{E4DBCA2F-E5FD-4559-9B85-A3C6E8AC0F42}"/>
    <hyperlink ref="I5" r:id="rId35" xr:uid="{E7E1777C-B04E-4FA2-9409-381F8CA5D7DA}"/>
    <hyperlink ref="I6" r:id="rId36" xr:uid="{0A817591-464C-4851-B421-526FC05DDC81}"/>
    <hyperlink ref="I7" r:id="rId37" xr:uid="{E294F733-D511-46BC-AC5B-C7011A8BCC6B}"/>
    <hyperlink ref="I9" r:id="rId38" xr:uid="{B1B7DCC3-606C-411E-A6EA-CEAFF25D79B4}"/>
    <hyperlink ref="I23" r:id="rId39" location="panoramica" display="Corso Intensivo Progettare i sistemi di formazione e sviluppo delle risorse umane - POLIMI GSoM" xr:uid="{19C7444B-F153-4AE3-B8B9-99EFF10C39CA}"/>
    <hyperlink ref="I24" r:id="rId40" xr:uid="{20D31174-A615-4E4D-B6BC-6EB4B4FB6769}"/>
    <hyperlink ref="I29" r:id="rId41" xr:uid="{188C0094-5EC8-4B9C-988B-1E6CC0143DDD}"/>
    <hyperlink ref="I32" r:id="rId42" xr:uid="{D4E43BB7-5820-4CF8-BD4B-10EA7D921B7F}"/>
    <hyperlink ref="I34" r:id="rId43" xr:uid="{B2625881-83D0-450D-A951-4019DDCAB797}"/>
    <hyperlink ref="I38" r:id="rId44" xr:uid="{852B9039-D966-4EDC-9369-C71BA063AE32}"/>
    <hyperlink ref="I39" r:id="rId45" xr:uid="{DD00EBAA-99BD-4B2A-962B-3306180DD157}"/>
    <hyperlink ref="I45" r:id="rId46" xr:uid="{953C100C-4158-45CB-8993-2EA498E66227}"/>
    <hyperlink ref="I47" r:id="rId47" xr:uid="{C3F0748C-45F2-4CF4-A8B1-4643953E2EF4}"/>
    <hyperlink ref="I48" r:id="rId48" xr:uid="{F8A426BF-C5B5-458D-A782-B6AAFC959BB9}"/>
    <hyperlink ref="I49" r:id="rId49" xr:uid="{90DD0B28-6DDC-427B-A1C5-CF16F397A22B}"/>
    <hyperlink ref="I50" r:id="rId50" xr:uid="{FB68F116-3604-4D3D-9E32-C2F7BCED1E13}"/>
    <hyperlink ref="I51" r:id="rId51" xr:uid="{864682DA-00DE-4454-9C91-0A0C4D0E15D5}"/>
    <hyperlink ref="I15" r:id="rId52" xr:uid="{3A381345-2FB4-43CA-8D76-EC8785FC17D2}"/>
    <hyperlink ref="I16" r:id="rId53" xr:uid="{62D07D87-ADBB-4BFF-88F5-727537286D9F}"/>
    <hyperlink ref="I17" r:id="rId54" display="GAQM" xr:uid="{D31E938B-BC76-45D6-BF95-60E612C051A4}"/>
    <hyperlink ref="I31" r:id="rId55" xr:uid="{9B2B524F-08DA-4EC0-873C-B917C2D7BBCC}"/>
    <hyperlink ref="I35" r:id="rId56" xr:uid="{40C3547F-6B4F-462A-A81F-B8E437E93F5E}"/>
    <hyperlink ref="I40" r:id="rId57" location="1" xr:uid="{7156C511-F653-43E8-9B7F-35A4ACDA7702}"/>
    <hyperlink ref="I33" r:id="rId58" location="1" xr:uid="{296265FE-EAE8-4B9B-A55C-FE6015DDD066}"/>
    <hyperlink ref="I21" r:id="rId59" location="panoramica" xr:uid="{0D0BFFED-22FB-4D89-A3BB-61E13484B404}"/>
    <hyperlink ref="I22" r:id="rId60" xr:uid="{0ABBACE1-62D5-4797-B7A0-2830B76F9AEC}"/>
    <hyperlink ref="I79" r:id="rId61" xr:uid="{BC4FA8C2-C9F2-4081-8B79-C8BB91A03A96}"/>
    <hyperlink ref="I80" r:id="rId62" xr:uid="{51B70014-49EE-45EA-A482-5A9CA71684CB}"/>
    <hyperlink ref="I81" r:id="rId63" xr:uid="{3E5C8F86-A00B-4A0D-9B0C-AAD176608CCF}"/>
    <hyperlink ref="I82" r:id="rId64" xr:uid="{50FD3A6D-AE15-43F9-9D06-DC92605A65EA}"/>
    <hyperlink ref="I83" r:id="rId65" xr:uid="{996BCD0D-2F6D-45F4-AA56-A8A5137DDF1C}"/>
    <hyperlink ref="I84" r:id="rId66" xr:uid="{15869DAA-31D4-40CA-990C-3CC0BC5C0253}"/>
    <hyperlink ref="I86" r:id="rId67" xr:uid="{28E456AC-F54E-4E7C-811C-EA949B9B3EC5}"/>
    <hyperlink ref="I13" r:id="rId68" xr:uid="{659ADB63-1B17-4023-8C6F-D35C1E51BC5C}"/>
    <hyperlink ref="I87" r:id="rId69" xr:uid="{CFCAE829-975E-4C40-9946-708D9EEAEB10}"/>
    <hyperlink ref="I36" r:id="rId70" display="https://www.24orebs.com/formazione/corsi-executive/corso-digital-marketing-strategia-advertising-ai?_gl=1*1haz5w9*_up*MQ..*_gs*MQ..&amp;gclid=CjwKCAjw46HPBhAMEiwASZpLRJQKN6uTWzzVR1_C4_P9oZA18DDS7s9615kDNj2JoA-in3A2v3B7SRoC6tgQAvD_BwE&amp;gbraid=0AAAAADRpQqSRcMhKeLoAlA9gxu3Aa8g3G" xr:uid="{3290826E-EE17-4384-BA72-6E7CD1FFC993}"/>
    <hyperlink ref="I37" r:id="rId71" xr:uid="{66F0CC8E-C65C-42AB-B2F3-FE3753E6C9BA}"/>
    <hyperlink ref="I30" r:id="rId72" xr:uid="{8BBDD845-6BAD-4905-9CE2-196C4291CCB1}"/>
    <hyperlink ref="I74" r:id="rId73" display="https://www.24orebs.com/formazione/professional-master/master-big-data-intelligenza-artificiale-e-business-analytics?_gl=1*1p2lq42*_up*MQ..*_gs*MQ..&amp;gclid=CjwKCAjwhqfPBhBWEiwAZo196geK3hoEHhhYTiH86-tTWr_Ej2V_5C4ltGmFqWpn7PXA0T4HXGczLRoCbkoQAvD_BwE&amp;gbraid=0AAAAADRpQqSyaq-BEHb1dQUF1VIUj-FB-" xr:uid="{340C96B8-A183-40AF-873E-0FB6DE270CB9}"/>
    <hyperlink ref="I71" r:id="rId74" display="https://www.24orebs.com/formazione/professional-master/professional-master-big-data-intelligenza-artificiale-e-business-analytics?_gl=1*189dcxo*_up*MQ..*_gs*MQ..&amp;gclid=CjwKCAjwhqfPBhBWEiwAZo196geK3hoEHhhYTiH86-tTWr_Ej2V_5C4ltGmFqWpn7PXA0T4HXGczLRoCbkoQAvD_BwE&amp;gbraid=0AAAAADRpQqSyaq-BEHb1dQUF1VIUj-FB-" xr:uid="{2479ACB1-39C8-4ABB-B2DF-C2E89DA41C95}"/>
    <hyperlink ref="I75" r:id="rId75" display="https://www.24orebs.com/formazione/professional-master/corso-artificial-intelligence-for-leaders-new-challenges?_gl=1*189dcxo*_up*MQ..*_gs*MQ..&amp;gclid=CjwKCAjwhqfPBhBWEiwAZo196geK3hoEHhhYTiH86-tTWr_Ej2V_5C4ltGmFqWpn7PXA0T4HXGczLRoCbkoQAvD_BwE&amp;gbraid=0AAAAADRpQqSyaq-BEHb1dQUF1VIUj-FB-" xr:uid="{2985A5F5-4AB1-4466-BFE2-A1E925D004D6}"/>
    <hyperlink ref="I68" r:id="rId76" xr:uid="{DC32D756-9F6E-488C-B07B-9D0E2963D6C9}"/>
    <hyperlink ref="I69" r:id="rId77" xr:uid="{D1631480-7E49-4BCC-B269-6E78C536A442}"/>
    <hyperlink ref="I72" r:id="rId78" xr:uid="{D73F77B9-530F-48C3-A98A-FC60B29737A4}"/>
    <hyperlink ref="I77" r:id="rId79" location="ai-tech" xr:uid="{4E5406A1-867D-4BEB-A847-DB5AA7E80DB2}"/>
    <hyperlink ref="I73" r:id="rId80" xr:uid="{D4D9DF96-9F88-400D-8584-A25DD29847B9}"/>
    <hyperlink ref="I70" r:id="rId81" location="iscriviti" xr:uid="{818B92E7-7BDD-4D3D-AE10-C502E2E95460}"/>
    <hyperlink ref="I76" r:id="rId82" xr:uid="{D2009CFF-D9B5-4898-8B11-FF2683B91CAE}"/>
    <hyperlink ref="I20" r:id="rId83" xr:uid="{17D0DD55-237D-4978-8B4D-92DC21D957F5}"/>
    <hyperlink ref="I97" r:id="rId84" xr:uid="{63D94994-5C35-4BEC-893C-C8D3E029E7A5}"/>
    <hyperlink ref="I25" r:id="rId85" xr:uid="{BB2B2F7C-4DCA-4EA5-84EE-87EE3743899F}"/>
    <hyperlink ref="I26" r:id="rId86" xr:uid="{5C6FA482-1C91-4C61-B2A8-FAA52A08533B}"/>
    <hyperlink ref="I27" r:id="rId87" xr:uid="{50F5878F-5952-43A5-AE42-005CB61283D6}"/>
    <hyperlink ref="I28" r:id="rId88" xr:uid="{7D9D9261-9FB0-43A1-8E6E-763EF2981448}"/>
  </hyperlinks>
  <pageMargins left="0.7" right="0.7" top="0.75" bottom="0.75" header="0.3" footer="0.3"/>
  <legacyDrawing r:id="rId89"/>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79CFE-D915-4533-ADB8-EF2E83D84AF1}">
  <dimension ref="A1:L79"/>
  <sheetViews>
    <sheetView workbookViewId="0">
      <pane ySplit="1" topLeftCell="A20" activePane="bottomLeft" state="frozen"/>
      <selection pane="bottomLeft" activeCell="A26" sqref="A26"/>
    </sheetView>
  </sheetViews>
  <sheetFormatPr defaultRowHeight="15"/>
  <cols>
    <col min="1" max="1" width="19.140625" style="43" bestFit="1" customWidth="1"/>
    <col min="2" max="2" width="36.5703125" style="43" bestFit="1" customWidth="1"/>
    <col min="3" max="3" width="36.5703125" style="43" customWidth="1"/>
    <col min="4" max="4" width="36.5703125" style="43" bestFit="1" customWidth="1"/>
    <col min="5" max="6" width="12.42578125" style="43" customWidth="1"/>
    <col min="7" max="7" width="11" style="43" bestFit="1" customWidth="1"/>
    <col min="8" max="9" width="9.140625" style="43"/>
    <col min="10" max="10" width="36.5703125" style="43" bestFit="1" customWidth="1"/>
    <col min="11" max="11" width="45.85546875" style="103" customWidth="1"/>
    <col min="12" max="12" width="36.5703125" style="43" bestFit="1" customWidth="1"/>
    <col min="13" max="16384" width="9.140625" style="43"/>
  </cols>
  <sheetData>
    <row r="1" spans="1:12" s="44" customFormat="1" ht="30">
      <c r="A1" s="42" t="s">
        <v>3</v>
      </c>
      <c r="B1" s="42" t="s">
        <v>272</v>
      </c>
      <c r="C1" s="93" t="s">
        <v>670</v>
      </c>
      <c r="D1" s="93" t="s">
        <v>671</v>
      </c>
      <c r="E1" s="42" t="s">
        <v>6</v>
      </c>
      <c r="F1" s="92" t="s">
        <v>7</v>
      </c>
      <c r="G1" s="42" t="s">
        <v>9</v>
      </c>
      <c r="H1" s="42" t="s">
        <v>672</v>
      </c>
      <c r="I1" s="42" t="s">
        <v>15</v>
      </c>
      <c r="J1" s="42" t="s">
        <v>16</v>
      </c>
      <c r="K1" s="102" t="s">
        <v>673</v>
      </c>
      <c r="L1" s="53"/>
    </row>
    <row r="2" spans="1:12" ht="16.5" customHeight="1">
      <c r="A2" s="338" t="s">
        <v>674</v>
      </c>
      <c r="B2" s="341" t="s">
        <v>675</v>
      </c>
      <c r="C2" s="340" t="s">
        <v>676</v>
      </c>
      <c r="D2" s="43" t="s">
        <v>677</v>
      </c>
      <c r="E2" s="43">
        <v>1</v>
      </c>
      <c r="F2" s="43">
        <v>2</v>
      </c>
      <c r="G2" s="337"/>
      <c r="H2" s="337"/>
      <c r="I2" s="337"/>
      <c r="J2" s="340" t="s">
        <v>678</v>
      </c>
      <c r="K2" s="103" t="s">
        <v>679</v>
      </c>
    </row>
    <row r="3" spans="1:12" ht="30">
      <c r="A3" s="339"/>
      <c r="B3" s="340"/>
      <c r="C3" s="340"/>
      <c r="D3" s="43" t="s">
        <v>680</v>
      </c>
      <c r="E3" s="43">
        <v>0</v>
      </c>
      <c r="F3" s="43">
        <v>1</v>
      </c>
      <c r="G3" s="337"/>
      <c r="H3" s="337"/>
      <c r="I3" s="337"/>
      <c r="J3" s="340"/>
      <c r="K3" s="103" t="s">
        <v>681</v>
      </c>
    </row>
    <row r="4" spans="1:12">
      <c r="A4" s="339"/>
      <c r="B4" s="340"/>
      <c r="C4" s="340"/>
      <c r="D4" s="43" t="s">
        <v>682</v>
      </c>
      <c r="E4" s="43">
        <v>1</v>
      </c>
      <c r="F4" s="43">
        <v>2</v>
      </c>
      <c r="G4" s="337"/>
      <c r="H4" s="337"/>
      <c r="I4" s="337"/>
      <c r="J4" s="340"/>
      <c r="K4" s="103" t="s">
        <v>683</v>
      </c>
    </row>
    <row r="5" spans="1:12">
      <c r="A5" s="339"/>
      <c r="B5" s="340"/>
      <c r="C5" s="340"/>
      <c r="D5" s="43" t="s">
        <v>684</v>
      </c>
      <c r="E5" s="43">
        <v>0</v>
      </c>
      <c r="F5" s="43">
        <v>1</v>
      </c>
      <c r="G5" s="337"/>
      <c r="H5" s="337"/>
      <c r="I5" s="337"/>
      <c r="J5" s="340"/>
    </row>
    <row r="6" spans="1:12">
      <c r="A6" s="339"/>
      <c r="B6" s="340"/>
      <c r="C6" s="340"/>
      <c r="D6" s="43" t="s">
        <v>116</v>
      </c>
      <c r="E6" s="43">
        <v>0</v>
      </c>
      <c r="F6" s="43">
        <v>1</v>
      </c>
      <c r="G6" s="337"/>
      <c r="H6" s="337"/>
      <c r="I6" s="337"/>
      <c r="J6" s="340"/>
    </row>
    <row r="7" spans="1:12">
      <c r="A7" s="339"/>
      <c r="B7" s="340"/>
      <c r="C7" s="340"/>
      <c r="D7" s="43" t="s">
        <v>685</v>
      </c>
      <c r="E7" s="43">
        <v>1</v>
      </c>
      <c r="F7" s="43">
        <v>2</v>
      </c>
      <c r="G7" s="337"/>
      <c r="H7" s="337"/>
      <c r="I7" s="337"/>
      <c r="J7" s="340"/>
    </row>
    <row r="8" spans="1:12">
      <c r="A8" s="339"/>
      <c r="B8" s="340"/>
      <c r="C8" s="340"/>
      <c r="D8" s="43" t="s">
        <v>686</v>
      </c>
      <c r="E8" s="43">
        <v>0</v>
      </c>
      <c r="F8" s="43">
        <v>1</v>
      </c>
      <c r="G8" s="337"/>
      <c r="H8" s="337"/>
      <c r="I8" s="337"/>
      <c r="J8" s="340"/>
    </row>
    <row r="9" spans="1:12">
      <c r="A9" s="339"/>
      <c r="B9" s="340"/>
      <c r="C9" s="340"/>
      <c r="D9" s="43" t="s">
        <v>687</v>
      </c>
      <c r="E9" s="43">
        <v>1</v>
      </c>
      <c r="F9" s="43">
        <v>2</v>
      </c>
      <c r="G9" s="337"/>
      <c r="H9" s="337"/>
      <c r="I9" s="337"/>
      <c r="J9" s="340"/>
    </row>
    <row r="10" spans="1:12">
      <c r="A10" s="339"/>
      <c r="B10" s="340"/>
      <c r="C10" s="340"/>
      <c r="D10" s="43" t="s">
        <v>688</v>
      </c>
      <c r="E10" s="43">
        <v>0</v>
      </c>
      <c r="F10" s="43">
        <v>1</v>
      </c>
      <c r="G10" s="337"/>
      <c r="H10" s="337"/>
      <c r="I10" s="337"/>
      <c r="J10" s="340"/>
    </row>
    <row r="11" spans="1:12">
      <c r="A11" s="339"/>
      <c r="B11" s="340"/>
      <c r="C11" s="340"/>
      <c r="D11" s="43" t="s">
        <v>689</v>
      </c>
      <c r="E11" s="43">
        <v>1</v>
      </c>
      <c r="F11" s="43">
        <v>2</v>
      </c>
      <c r="G11" s="337"/>
      <c r="H11" s="337"/>
      <c r="I11" s="337"/>
      <c r="J11" s="340"/>
    </row>
    <row r="12" spans="1:12">
      <c r="A12" s="339"/>
      <c r="B12" s="340"/>
      <c r="C12" s="340"/>
      <c r="D12" s="43" t="s">
        <v>100</v>
      </c>
      <c r="E12" s="43">
        <v>1</v>
      </c>
      <c r="F12" s="43">
        <v>2</v>
      </c>
      <c r="G12" s="337"/>
      <c r="H12" s="337"/>
      <c r="I12" s="337"/>
      <c r="J12" s="340"/>
    </row>
    <row r="13" spans="1:12" ht="45">
      <c r="A13" s="339"/>
      <c r="B13" s="340"/>
      <c r="C13" s="340"/>
      <c r="D13" s="43" t="s">
        <v>690</v>
      </c>
      <c r="G13" s="337"/>
      <c r="H13" s="337"/>
      <c r="I13" s="337"/>
      <c r="J13" s="340"/>
    </row>
    <row r="14" spans="1:12" ht="17.25" customHeight="1">
      <c r="A14" s="339"/>
      <c r="B14" s="340" t="s">
        <v>691</v>
      </c>
      <c r="C14" s="340" t="s">
        <v>692</v>
      </c>
      <c r="D14" s="43" t="s">
        <v>677</v>
      </c>
      <c r="E14" s="43">
        <v>1</v>
      </c>
      <c r="F14" s="43">
        <v>2</v>
      </c>
      <c r="J14" s="340" t="s">
        <v>678</v>
      </c>
    </row>
    <row r="15" spans="1:12">
      <c r="A15" s="339"/>
      <c r="B15" s="340"/>
      <c r="C15" s="340"/>
      <c r="D15" s="43" t="s">
        <v>680</v>
      </c>
      <c r="E15" s="43">
        <v>0</v>
      </c>
      <c r="F15" s="43">
        <v>1</v>
      </c>
      <c r="J15" s="340"/>
    </row>
    <row r="16" spans="1:12">
      <c r="A16" s="339"/>
      <c r="B16" s="340"/>
      <c r="C16" s="340"/>
      <c r="D16" s="43" t="s">
        <v>682</v>
      </c>
      <c r="E16" s="43">
        <v>1</v>
      </c>
      <c r="F16" s="43">
        <v>2</v>
      </c>
      <c r="J16" s="340"/>
    </row>
    <row r="17" spans="1:10">
      <c r="A17" s="339"/>
      <c r="B17" s="340"/>
      <c r="C17" s="340"/>
      <c r="D17" s="43" t="s">
        <v>684</v>
      </c>
      <c r="E17" s="43">
        <v>0</v>
      </c>
      <c r="F17" s="43">
        <v>1</v>
      </c>
      <c r="J17" s="340"/>
    </row>
    <row r="18" spans="1:10">
      <c r="A18" s="339"/>
      <c r="B18" s="340"/>
      <c r="C18" s="340"/>
      <c r="D18" s="43" t="s">
        <v>116</v>
      </c>
      <c r="E18" s="43">
        <v>0</v>
      </c>
      <c r="F18" s="43">
        <v>1</v>
      </c>
      <c r="J18" s="340"/>
    </row>
    <row r="19" spans="1:10">
      <c r="A19" s="339"/>
      <c r="B19" s="340"/>
      <c r="C19" s="340"/>
      <c r="D19" s="43" t="s">
        <v>685</v>
      </c>
      <c r="E19" s="43">
        <v>1</v>
      </c>
      <c r="F19" s="43">
        <v>2</v>
      </c>
      <c r="J19" s="340"/>
    </row>
    <row r="20" spans="1:10">
      <c r="A20" s="339"/>
      <c r="B20" s="340"/>
      <c r="C20" s="340"/>
      <c r="D20" s="43" t="s">
        <v>686</v>
      </c>
      <c r="E20" s="43">
        <v>0</v>
      </c>
      <c r="F20" s="43">
        <v>1</v>
      </c>
      <c r="J20" s="340"/>
    </row>
    <row r="21" spans="1:10">
      <c r="A21" s="339"/>
      <c r="B21" s="340"/>
      <c r="C21" s="340"/>
      <c r="D21" s="43" t="s">
        <v>687</v>
      </c>
      <c r="E21" s="43">
        <v>1</v>
      </c>
      <c r="F21" s="43">
        <v>2</v>
      </c>
      <c r="J21" s="340"/>
    </row>
    <row r="22" spans="1:10">
      <c r="A22" s="339"/>
      <c r="B22" s="340"/>
      <c r="C22" s="340"/>
      <c r="D22" s="43" t="s">
        <v>688</v>
      </c>
      <c r="E22" s="43">
        <v>0</v>
      </c>
      <c r="F22" s="43">
        <v>1</v>
      </c>
      <c r="J22" s="340"/>
    </row>
    <row r="23" spans="1:10">
      <c r="A23" s="339"/>
      <c r="B23" s="340"/>
      <c r="C23" s="340"/>
      <c r="D23" s="43" t="s">
        <v>689</v>
      </c>
      <c r="E23" s="43">
        <v>1</v>
      </c>
      <c r="F23" s="43">
        <v>2</v>
      </c>
      <c r="J23" s="340"/>
    </row>
    <row r="24" spans="1:10" ht="45">
      <c r="A24" s="339"/>
      <c r="B24" s="340"/>
      <c r="C24" s="340"/>
      <c r="D24" s="43" t="s">
        <v>690</v>
      </c>
      <c r="J24" s="340"/>
    </row>
    <row r="25" spans="1:10" hidden="1">
      <c r="A25" s="340"/>
      <c r="B25" s="340"/>
      <c r="C25" s="340"/>
      <c r="D25" s="43" t="s">
        <v>100</v>
      </c>
      <c r="F25" s="43">
        <v>2</v>
      </c>
      <c r="J25" s="340"/>
    </row>
    <row r="26" spans="1:10" ht="15.75" customHeight="1">
      <c r="A26" s="337" t="s">
        <v>693</v>
      </c>
      <c r="B26" s="298" t="s">
        <v>694</v>
      </c>
      <c r="C26" s="298" t="s">
        <v>695</v>
      </c>
      <c r="D26" s="358" t="s">
        <v>72</v>
      </c>
      <c r="E26" s="43">
        <v>1</v>
      </c>
      <c r="F26" s="43">
        <v>2</v>
      </c>
      <c r="G26" s="337"/>
      <c r="H26" s="337"/>
      <c r="I26" s="337"/>
      <c r="J26" s="337"/>
    </row>
    <row r="27" spans="1:10">
      <c r="A27" s="337"/>
      <c r="B27" s="298"/>
      <c r="C27" s="298"/>
      <c r="D27" s="358" t="s">
        <v>696</v>
      </c>
      <c r="E27" s="43">
        <v>1</v>
      </c>
      <c r="F27" s="43">
        <v>2</v>
      </c>
      <c r="G27" s="337"/>
      <c r="H27" s="337"/>
      <c r="I27" s="337"/>
      <c r="J27" s="337"/>
    </row>
    <row r="28" spans="1:10">
      <c r="A28" s="337"/>
      <c r="B28" s="298"/>
      <c r="C28" s="298"/>
      <c r="D28" s="358" t="s">
        <v>77</v>
      </c>
      <c r="E28" s="43">
        <v>0</v>
      </c>
      <c r="F28" s="43">
        <v>1</v>
      </c>
      <c r="G28" s="337"/>
      <c r="H28" s="337"/>
      <c r="I28" s="337"/>
      <c r="J28" s="337"/>
    </row>
    <row r="29" spans="1:10">
      <c r="A29" s="337"/>
      <c r="B29" s="298"/>
      <c r="C29" s="298"/>
      <c r="D29" s="358" t="s">
        <v>90</v>
      </c>
      <c r="E29" s="43">
        <v>1</v>
      </c>
      <c r="F29" s="43">
        <v>2</v>
      </c>
      <c r="G29" s="337"/>
      <c r="H29" s="337"/>
      <c r="I29" s="337"/>
      <c r="J29" s="337"/>
    </row>
    <row r="30" spans="1:10">
      <c r="A30" s="337"/>
      <c r="B30" s="298"/>
      <c r="C30" s="298"/>
      <c r="D30" s="358" t="s">
        <v>83</v>
      </c>
      <c r="E30" s="43">
        <v>2</v>
      </c>
      <c r="F30" s="43">
        <v>3</v>
      </c>
      <c r="G30" s="337"/>
      <c r="H30" s="337"/>
      <c r="I30" s="337"/>
      <c r="J30" s="337"/>
    </row>
    <row r="31" spans="1:10">
      <c r="A31" s="337"/>
      <c r="B31" s="298"/>
      <c r="C31" s="298"/>
      <c r="D31" s="43" t="s">
        <v>677</v>
      </c>
      <c r="E31" s="43">
        <v>0</v>
      </c>
      <c r="F31" s="43">
        <v>1</v>
      </c>
      <c r="G31" s="337"/>
      <c r="H31" s="337"/>
      <c r="I31" s="337"/>
      <c r="J31" s="337"/>
    </row>
    <row r="32" spans="1:10">
      <c r="A32" s="337"/>
      <c r="B32" s="298"/>
      <c r="C32" s="298"/>
      <c r="D32" s="43" t="s">
        <v>682</v>
      </c>
      <c r="E32" s="43">
        <v>0</v>
      </c>
      <c r="F32" s="43">
        <v>1</v>
      </c>
      <c r="G32" s="337"/>
      <c r="H32" s="337"/>
      <c r="I32" s="337"/>
      <c r="J32" s="337"/>
    </row>
    <row r="33" spans="1:10">
      <c r="A33" s="337"/>
      <c r="B33" s="298"/>
      <c r="C33" s="298"/>
      <c r="D33" s="43" t="s">
        <v>697</v>
      </c>
      <c r="E33" s="43">
        <v>0</v>
      </c>
      <c r="F33" s="43">
        <v>1</v>
      </c>
      <c r="G33" s="337"/>
      <c r="H33" s="337"/>
      <c r="I33" s="337"/>
      <c r="J33" s="337"/>
    </row>
    <row r="34" spans="1:10">
      <c r="A34" s="337"/>
      <c r="B34" s="298"/>
      <c r="C34" s="298"/>
      <c r="D34" s="43" t="s">
        <v>684</v>
      </c>
      <c r="E34" s="43">
        <v>0</v>
      </c>
      <c r="F34" s="43">
        <v>1</v>
      </c>
      <c r="G34" s="337"/>
      <c r="H34" s="337"/>
      <c r="I34" s="337"/>
      <c r="J34" s="337"/>
    </row>
    <row r="35" spans="1:10">
      <c r="A35" s="337"/>
      <c r="B35" s="298"/>
      <c r="C35" s="298"/>
      <c r="D35" s="43" t="s">
        <v>680</v>
      </c>
      <c r="E35" s="43">
        <v>0</v>
      </c>
      <c r="F35" s="43">
        <v>1</v>
      </c>
      <c r="G35" s="337"/>
      <c r="H35" s="337"/>
      <c r="I35" s="337"/>
      <c r="J35" s="337"/>
    </row>
    <row r="36" spans="1:10">
      <c r="A36" s="337"/>
      <c r="B36" s="298"/>
      <c r="C36" s="298"/>
      <c r="D36" s="43" t="s">
        <v>689</v>
      </c>
      <c r="E36" s="43">
        <v>1</v>
      </c>
      <c r="F36" s="43">
        <v>2</v>
      </c>
      <c r="G36" s="337"/>
      <c r="H36" s="337"/>
      <c r="I36" s="337"/>
      <c r="J36" s="337"/>
    </row>
    <row r="37" spans="1:10">
      <c r="A37" s="337"/>
      <c r="B37" s="298"/>
      <c r="C37" s="298"/>
      <c r="D37" s="43" t="s">
        <v>698</v>
      </c>
      <c r="E37" s="43">
        <v>1</v>
      </c>
      <c r="F37" s="43">
        <v>2</v>
      </c>
      <c r="G37" s="337"/>
      <c r="H37" s="337"/>
      <c r="I37" s="337"/>
      <c r="J37" s="337"/>
    </row>
    <row r="38" spans="1:10">
      <c r="A38" s="337"/>
      <c r="B38" s="298"/>
      <c r="C38" s="298"/>
      <c r="D38" s="43" t="s">
        <v>685</v>
      </c>
      <c r="E38" s="43">
        <v>0</v>
      </c>
      <c r="F38" s="43">
        <v>1</v>
      </c>
      <c r="G38" s="337"/>
      <c r="H38" s="337"/>
      <c r="I38" s="337"/>
      <c r="J38" s="337"/>
    </row>
    <row r="39" spans="1:10">
      <c r="A39" s="337"/>
      <c r="B39" s="298"/>
      <c r="C39" s="298"/>
      <c r="D39" s="43" t="s">
        <v>686</v>
      </c>
      <c r="E39" s="43">
        <v>0</v>
      </c>
      <c r="F39" s="43">
        <v>1</v>
      </c>
      <c r="G39" s="337"/>
      <c r="H39" s="337"/>
      <c r="I39" s="337"/>
      <c r="J39" s="337"/>
    </row>
    <row r="40" spans="1:10">
      <c r="A40" s="337"/>
      <c r="B40" s="298"/>
      <c r="C40" s="298"/>
      <c r="D40" s="43" t="s">
        <v>699</v>
      </c>
      <c r="E40" s="43">
        <v>0</v>
      </c>
      <c r="F40" s="43">
        <v>1</v>
      </c>
      <c r="G40" s="337"/>
      <c r="H40" s="337"/>
      <c r="I40" s="337"/>
      <c r="J40" s="337"/>
    </row>
    <row r="41" spans="1:10">
      <c r="A41" s="337"/>
      <c r="B41" s="298"/>
      <c r="C41" s="298"/>
      <c r="D41" s="43" t="s">
        <v>700</v>
      </c>
      <c r="E41" s="43">
        <v>2</v>
      </c>
      <c r="F41" s="43">
        <v>3</v>
      </c>
      <c r="G41" s="337"/>
      <c r="H41" s="337"/>
      <c r="I41" s="337"/>
      <c r="J41" s="337"/>
    </row>
    <row r="42" spans="1:10" ht="17.25" customHeight="1">
      <c r="A42" s="298" t="s">
        <v>701</v>
      </c>
      <c r="B42" s="298" t="s">
        <v>702</v>
      </c>
      <c r="C42" s="337" t="s">
        <v>703</v>
      </c>
      <c r="D42" s="43" t="s">
        <v>677</v>
      </c>
      <c r="E42" s="43">
        <v>0</v>
      </c>
      <c r="F42" s="43">
        <v>1</v>
      </c>
      <c r="G42" s="337"/>
      <c r="H42" s="337"/>
      <c r="I42" s="337"/>
      <c r="J42" s="298" t="s">
        <v>704</v>
      </c>
    </row>
    <row r="43" spans="1:10">
      <c r="A43" s="298"/>
      <c r="B43" s="298"/>
      <c r="C43" s="337"/>
      <c r="D43" s="43" t="s">
        <v>682</v>
      </c>
      <c r="E43" s="43">
        <v>0</v>
      </c>
      <c r="F43" s="43">
        <v>1</v>
      </c>
      <c r="G43" s="337"/>
      <c r="H43" s="337"/>
      <c r="I43" s="337"/>
      <c r="J43" s="298"/>
    </row>
    <row r="44" spans="1:10">
      <c r="A44" s="298"/>
      <c r="B44" s="298"/>
      <c r="C44" s="337"/>
      <c r="D44" s="43" t="s">
        <v>697</v>
      </c>
      <c r="E44" s="43">
        <v>0</v>
      </c>
      <c r="F44" s="43">
        <v>1</v>
      </c>
      <c r="G44" s="337"/>
      <c r="H44" s="337"/>
      <c r="I44" s="337"/>
      <c r="J44" s="298"/>
    </row>
    <row r="45" spans="1:10">
      <c r="A45" s="298"/>
      <c r="B45" s="298"/>
      <c r="C45" s="337"/>
      <c r="D45" s="43" t="s">
        <v>684</v>
      </c>
      <c r="E45" s="43">
        <v>0</v>
      </c>
      <c r="F45" s="43">
        <v>1</v>
      </c>
      <c r="G45" s="337"/>
      <c r="H45" s="337"/>
      <c r="I45" s="337"/>
      <c r="J45" s="298"/>
    </row>
    <row r="46" spans="1:10">
      <c r="A46" s="298"/>
      <c r="B46" s="298"/>
      <c r="C46" s="337"/>
      <c r="D46" s="43" t="s">
        <v>680</v>
      </c>
      <c r="E46" s="43">
        <v>0</v>
      </c>
      <c r="F46" s="43">
        <v>1</v>
      </c>
      <c r="G46" s="337"/>
      <c r="H46" s="337"/>
      <c r="I46" s="337"/>
      <c r="J46" s="298"/>
    </row>
    <row r="47" spans="1:10">
      <c r="A47" s="298"/>
      <c r="B47" s="298"/>
      <c r="C47" s="337"/>
      <c r="D47" s="43" t="s">
        <v>689</v>
      </c>
      <c r="E47" s="43">
        <v>1</v>
      </c>
      <c r="F47" s="43">
        <v>2</v>
      </c>
      <c r="G47" s="337"/>
      <c r="H47" s="337"/>
      <c r="I47" s="337"/>
      <c r="J47" s="298"/>
    </row>
    <row r="48" spans="1:10">
      <c r="A48" s="298"/>
      <c r="B48" s="298"/>
      <c r="C48" s="337"/>
      <c r="D48" s="43" t="s">
        <v>698</v>
      </c>
      <c r="E48" s="43">
        <v>0</v>
      </c>
      <c r="F48" s="43">
        <v>1</v>
      </c>
      <c r="G48" s="337"/>
      <c r="H48" s="337"/>
      <c r="I48" s="337"/>
      <c r="J48" s="298"/>
    </row>
    <row r="49" spans="1:10">
      <c r="A49" s="298"/>
      <c r="B49" s="298"/>
      <c r="C49" s="337"/>
      <c r="D49" s="43" t="s">
        <v>685</v>
      </c>
      <c r="E49" s="43">
        <v>0</v>
      </c>
      <c r="F49" s="43">
        <v>1</v>
      </c>
      <c r="G49" s="337"/>
      <c r="H49" s="337"/>
      <c r="I49" s="337"/>
      <c r="J49" s="298"/>
    </row>
    <row r="50" spans="1:10">
      <c r="A50" s="298"/>
      <c r="B50" s="298"/>
      <c r="C50" s="337"/>
      <c r="D50" s="43" t="s">
        <v>686</v>
      </c>
      <c r="E50" s="43">
        <v>0</v>
      </c>
      <c r="F50" s="43">
        <v>1</v>
      </c>
      <c r="G50" s="337"/>
      <c r="H50" s="337"/>
      <c r="I50" s="337"/>
      <c r="J50" s="298"/>
    </row>
    <row r="51" spans="1:10">
      <c r="A51" s="298"/>
      <c r="B51" s="298"/>
      <c r="C51" s="337"/>
      <c r="D51" s="43" t="s">
        <v>699</v>
      </c>
      <c r="E51" s="43">
        <v>0</v>
      </c>
      <c r="F51" s="43">
        <v>1</v>
      </c>
      <c r="G51" s="337"/>
      <c r="H51" s="337"/>
      <c r="I51" s="337"/>
      <c r="J51" s="298"/>
    </row>
    <row r="52" spans="1:10">
      <c r="A52" s="298"/>
      <c r="B52" s="298"/>
      <c r="C52" s="337"/>
      <c r="D52" s="43" t="s">
        <v>700</v>
      </c>
      <c r="E52" s="43">
        <v>0</v>
      </c>
      <c r="F52" s="43">
        <v>1</v>
      </c>
      <c r="G52" s="337"/>
      <c r="H52" s="337"/>
      <c r="I52" s="337"/>
      <c r="J52" s="298"/>
    </row>
    <row r="53" spans="1:10">
      <c r="A53" s="337" t="s">
        <v>705</v>
      </c>
      <c r="B53" s="337" t="s">
        <v>706</v>
      </c>
      <c r="C53" s="337" t="s">
        <v>707</v>
      </c>
      <c r="D53" s="43" t="s">
        <v>32</v>
      </c>
      <c r="E53" s="43">
        <v>2</v>
      </c>
      <c r="F53" s="43">
        <v>3</v>
      </c>
      <c r="G53" s="337"/>
      <c r="H53" s="337"/>
      <c r="I53" s="337"/>
      <c r="J53" s="337"/>
    </row>
    <row r="54" spans="1:10">
      <c r="A54" s="337"/>
      <c r="B54" s="337"/>
      <c r="C54" s="337"/>
      <c r="D54" s="43" t="s">
        <v>22</v>
      </c>
      <c r="E54" s="43">
        <v>2</v>
      </c>
      <c r="F54" s="43">
        <v>3</v>
      </c>
      <c r="G54" s="337"/>
      <c r="H54" s="337"/>
      <c r="I54" s="337"/>
      <c r="J54" s="337"/>
    </row>
    <row r="55" spans="1:10">
      <c r="A55" s="337"/>
      <c r="B55" s="337"/>
      <c r="C55" s="337"/>
      <c r="D55" s="43" t="s">
        <v>37</v>
      </c>
      <c r="E55" s="43">
        <v>1</v>
      </c>
      <c r="F55" s="43">
        <v>2</v>
      </c>
      <c r="G55" s="337"/>
      <c r="H55" s="337"/>
      <c r="I55" s="337"/>
      <c r="J55" s="337"/>
    </row>
    <row r="56" spans="1:10">
      <c r="A56" s="337"/>
      <c r="B56" s="337"/>
      <c r="C56" s="337"/>
      <c r="D56" s="43" t="s">
        <v>239</v>
      </c>
      <c r="E56" s="43">
        <v>2</v>
      </c>
      <c r="F56" s="43">
        <v>3</v>
      </c>
      <c r="G56" s="337"/>
      <c r="H56" s="337"/>
      <c r="I56" s="337"/>
      <c r="J56" s="337"/>
    </row>
    <row r="57" spans="1:10">
      <c r="A57" s="337"/>
      <c r="B57" s="337"/>
      <c r="C57" s="337"/>
      <c r="D57" s="43" t="s">
        <v>708</v>
      </c>
      <c r="E57" s="43">
        <v>1</v>
      </c>
      <c r="F57" s="43">
        <v>2</v>
      </c>
      <c r="G57" s="337"/>
      <c r="H57" s="337"/>
      <c r="I57" s="337"/>
      <c r="J57" s="337"/>
    </row>
    <row r="58" spans="1:10">
      <c r="A58" s="337"/>
      <c r="B58" s="337"/>
      <c r="C58" s="337"/>
      <c r="D58" s="43" t="s">
        <v>52</v>
      </c>
      <c r="E58" s="43">
        <v>1</v>
      </c>
      <c r="F58" s="43">
        <v>2</v>
      </c>
      <c r="G58" s="337"/>
      <c r="H58" s="337"/>
      <c r="I58" s="337"/>
      <c r="J58" s="337"/>
    </row>
    <row r="59" spans="1:10">
      <c r="A59" s="298" t="s">
        <v>277</v>
      </c>
      <c r="B59" s="298" t="s">
        <v>709</v>
      </c>
      <c r="C59" s="337" t="s">
        <v>710</v>
      </c>
      <c r="D59" s="43" t="s">
        <v>711</v>
      </c>
      <c r="E59" s="43">
        <v>2</v>
      </c>
      <c r="F59" s="43">
        <v>3</v>
      </c>
      <c r="G59" s="337"/>
      <c r="H59" s="337"/>
      <c r="I59" s="337"/>
      <c r="J59" s="337" t="s">
        <v>712</v>
      </c>
    </row>
    <row r="60" spans="1:10">
      <c r="A60" s="298"/>
      <c r="B60" s="298"/>
      <c r="C60" s="337"/>
      <c r="D60" s="43" t="s">
        <v>713</v>
      </c>
      <c r="E60" s="43">
        <v>2</v>
      </c>
      <c r="F60" s="43">
        <v>3</v>
      </c>
      <c r="G60" s="337"/>
      <c r="H60" s="337"/>
      <c r="I60" s="337"/>
      <c r="J60" s="337"/>
    </row>
    <row r="61" spans="1:10">
      <c r="A61" s="298"/>
      <c r="B61" s="298"/>
      <c r="C61" s="337"/>
      <c r="D61" s="43" t="s">
        <v>677</v>
      </c>
      <c r="E61" s="43">
        <v>0</v>
      </c>
      <c r="F61" s="43">
        <v>1</v>
      </c>
      <c r="G61" s="337"/>
      <c r="H61" s="337"/>
      <c r="I61" s="337"/>
      <c r="J61" s="337"/>
    </row>
    <row r="62" spans="1:10">
      <c r="A62" s="298"/>
      <c r="B62" s="298"/>
      <c r="C62" s="337"/>
      <c r="D62" s="43" t="s">
        <v>116</v>
      </c>
      <c r="E62" s="43">
        <v>0</v>
      </c>
      <c r="F62" s="43">
        <v>1</v>
      </c>
      <c r="G62" s="337"/>
      <c r="H62" s="337"/>
      <c r="I62" s="337"/>
      <c r="J62" s="337"/>
    </row>
    <row r="63" spans="1:10">
      <c r="A63" s="298"/>
      <c r="B63" s="298"/>
      <c r="C63" s="337"/>
      <c r="D63" s="43" t="s">
        <v>680</v>
      </c>
      <c r="E63" s="43">
        <v>0</v>
      </c>
      <c r="F63" s="43">
        <v>1</v>
      </c>
      <c r="G63" s="337"/>
      <c r="H63" s="337"/>
      <c r="I63" s="337"/>
      <c r="J63" s="337"/>
    </row>
    <row r="64" spans="1:10">
      <c r="A64" s="298"/>
      <c r="B64" s="298"/>
      <c r="C64" s="337"/>
      <c r="D64" s="43" t="s">
        <v>682</v>
      </c>
      <c r="E64" s="43">
        <v>0</v>
      </c>
      <c r="F64" s="43">
        <v>1</v>
      </c>
      <c r="G64" s="337"/>
      <c r="H64" s="337"/>
      <c r="I64" s="337"/>
      <c r="J64" s="337"/>
    </row>
    <row r="65" spans="1:10">
      <c r="A65" s="298"/>
      <c r="B65" s="298"/>
      <c r="C65" s="337"/>
      <c r="D65" s="43" t="s">
        <v>684</v>
      </c>
      <c r="E65" s="43">
        <v>0</v>
      </c>
      <c r="F65" s="43">
        <v>1</v>
      </c>
      <c r="G65" s="337"/>
      <c r="H65" s="337"/>
      <c r="I65" s="337"/>
      <c r="J65" s="337"/>
    </row>
    <row r="66" spans="1:10">
      <c r="A66" s="298"/>
      <c r="B66" s="298"/>
      <c r="C66" s="337"/>
      <c r="D66" s="99" t="s">
        <v>32</v>
      </c>
      <c r="E66" s="43">
        <v>1</v>
      </c>
      <c r="F66" s="43">
        <v>2</v>
      </c>
      <c r="G66" s="337"/>
      <c r="H66" s="337"/>
      <c r="I66" s="337"/>
      <c r="J66" s="337"/>
    </row>
    <row r="67" spans="1:10">
      <c r="A67" s="298"/>
      <c r="B67" s="298"/>
      <c r="C67" s="337"/>
      <c r="D67" s="99" t="s">
        <v>22</v>
      </c>
      <c r="E67" s="43">
        <v>1</v>
      </c>
      <c r="F67" s="43">
        <v>2</v>
      </c>
      <c r="G67" s="337"/>
      <c r="H67" s="337"/>
      <c r="I67" s="337"/>
      <c r="J67" s="337"/>
    </row>
    <row r="68" spans="1:10">
      <c r="A68" s="298"/>
      <c r="B68" s="298"/>
      <c r="C68" s="337"/>
      <c r="D68" s="43" t="s">
        <v>239</v>
      </c>
      <c r="E68" s="43">
        <v>1</v>
      </c>
      <c r="F68" s="43">
        <v>2</v>
      </c>
      <c r="G68" s="337"/>
      <c r="H68" s="337"/>
      <c r="I68" s="337"/>
      <c r="J68" s="337"/>
    </row>
    <row r="69" spans="1:10">
      <c r="A69" s="298"/>
      <c r="B69" s="298"/>
      <c r="C69" s="337"/>
      <c r="D69" s="43" t="s">
        <v>52</v>
      </c>
      <c r="E69" s="43">
        <v>0</v>
      </c>
      <c r="F69" s="43">
        <v>1</v>
      </c>
      <c r="G69" s="337"/>
      <c r="H69" s="337"/>
      <c r="I69" s="337"/>
      <c r="J69" s="337"/>
    </row>
    <row r="70" spans="1:10">
      <c r="A70" s="298"/>
      <c r="B70" s="298"/>
      <c r="C70" s="337"/>
      <c r="D70" s="43" t="s">
        <v>714</v>
      </c>
      <c r="E70" s="43">
        <v>0</v>
      </c>
      <c r="F70" s="43">
        <v>1</v>
      </c>
      <c r="G70" s="337"/>
      <c r="H70" s="337"/>
      <c r="I70" s="337"/>
      <c r="J70" s="337"/>
    </row>
    <row r="71" spans="1:10">
      <c r="A71" s="298"/>
      <c r="B71" s="298"/>
      <c r="C71" s="337"/>
      <c r="D71" s="43" t="s">
        <v>708</v>
      </c>
      <c r="E71" s="43">
        <v>0</v>
      </c>
      <c r="F71" s="43">
        <v>1</v>
      </c>
      <c r="G71" s="337"/>
      <c r="H71" s="337"/>
      <c r="I71" s="337"/>
      <c r="J71" s="337"/>
    </row>
    <row r="79" spans="1:10">
      <c r="C79" s="94"/>
    </row>
  </sheetData>
  <mergeCells count="38">
    <mergeCell ref="J14:J25"/>
    <mergeCell ref="C14:C25"/>
    <mergeCell ref="J2:J13"/>
    <mergeCell ref="I26:I41"/>
    <mergeCell ref="J26:J41"/>
    <mergeCell ref="G2:G13"/>
    <mergeCell ref="H2:H13"/>
    <mergeCell ref="I2:I13"/>
    <mergeCell ref="G26:G41"/>
    <mergeCell ref="H26:H41"/>
    <mergeCell ref="A2:A25"/>
    <mergeCell ref="B2:B13"/>
    <mergeCell ref="C2:C13"/>
    <mergeCell ref="B26:B41"/>
    <mergeCell ref="A26:A41"/>
    <mergeCell ref="C26:C41"/>
    <mergeCell ref="B14:B25"/>
    <mergeCell ref="A42:A52"/>
    <mergeCell ref="G42:G52"/>
    <mergeCell ref="H42:H52"/>
    <mergeCell ref="I42:I52"/>
    <mergeCell ref="J42:J52"/>
    <mergeCell ref="C42:C52"/>
    <mergeCell ref="B42:B52"/>
    <mergeCell ref="I53:I58"/>
    <mergeCell ref="J53:J58"/>
    <mergeCell ref="C59:C71"/>
    <mergeCell ref="B59:B71"/>
    <mergeCell ref="A59:A71"/>
    <mergeCell ref="G59:G71"/>
    <mergeCell ref="H59:H71"/>
    <mergeCell ref="I59:I71"/>
    <mergeCell ref="J59:J71"/>
    <mergeCell ref="A53:A58"/>
    <mergeCell ref="B53:B58"/>
    <mergeCell ref="C53:C58"/>
    <mergeCell ref="G53:G58"/>
    <mergeCell ref="H53:H58"/>
  </mergeCells>
  <dataValidations count="1">
    <dataValidation type="list" allowBlank="1" showInputMessage="1" showErrorMessage="1" sqref="F2:F25 E2:E23 F47:F58" xr:uid="{F3F3B05D-68F1-4392-AB76-235095C1EF51}">
      <formula1>"0,1,2,3"</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22282-D113-4566-A8AD-7395C0E045D9}">
  <dimension ref="A1:J11"/>
  <sheetViews>
    <sheetView workbookViewId="0">
      <pane ySplit="1" topLeftCell="B2" activePane="bottomLeft" state="frozen"/>
      <selection pane="bottomLeft" activeCell="J5" sqref="J5"/>
    </sheetView>
  </sheetViews>
  <sheetFormatPr defaultRowHeight="15"/>
  <cols>
    <col min="1" max="1" width="14.5703125" style="1" customWidth="1"/>
    <col min="2" max="3" width="15.5703125" customWidth="1"/>
    <col min="4" max="6" width="17.7109375" customWidth="1"/>
    <col min="7" max="7" width="41.42578125" customWidth="1"/>
    <col min="8" max="8" width="43.42578125" style="1" customWidth="1"/>
    <col min="9" max="9" width="21.5703125" style="1" customWidth="1"/>
    <col min="10" max="10" width="45.7109375" customWidth="1"/>
  </cols>
  <sheetData>
    <row r="1" spans="1:10" s="273" customFormat="1">
      <c r="A1" s="123" t="s">
        <v>715</v>
      </c>
      <c r="B1" s="273" t="s">
        <v>716</v>
      </c>
      <c r="C1" s="273" t="s">
        <v>717</v>
      </c>
      <c r="D1" s="273" t="s">
        <v>718</v>
      </c>
      <c r="E1" s="273" t="s">
        <v>719</v>
      </c>
      <c r="F1" s="273" t="s">
        <v>13</v>
      </c>
      <c r="G1" s="111" t="s">
        <v>720</v>
      </c>
      <c r="H1" s="123" t="s">
        <v>16</v>
      </c>
      <c r="I1" s="123" t="s">
        <v>721</v>
      </c>
    </row>
    <row r="2" spans="1:10" s="24" customFormat="1" ht="60.75">
      <c r="A2" s="49" t="s">
        <v>722</v>
      </c>
      <c r="B2" s="24" t="s">
        <v>723</v>
      </c>
      <c r="C2" s="49" t="s">
        <v>30</v>
      </c>
      <c r="D2" s="49" t="s">
        <v>724</v>
      </c>
      <c r="E2" s="49" t="s">
        <v>30</v>
      </c>
      <c r="F2" s="49" t="s">
        <v>30</v>
      </c>
      <c r="G2" s="106" t="s">
        <v>725</v>
      </c>
      <c r="H2" s="49" t="s">
        <v>726</v>
      </c>
      <c r="I2" s="279" t="s">
        <v>727</v>
      </c>
    </row>
    <row r="3" spans="1:10" s="24" customFormat="1" ht="76.5">
      <c r="A3" s="49" t="s">
        <v>722</v>
      </c>
      <c r="B3" s="24" t="s">
        <v>728</v>
      </c>
      <c r="C3" s="49" t="s">
        <v>30</v>
      </c>
      <c r="D3" s="49" t="s">
        <v>729</v>
      </c>
      <c r="E3" s="49" t="s">
        <v>30</v>
      </c>
      <c r="F3" s="49" t="s">
        <v>30</v>
      </c>
      <c r="G3" s="43" t="s">
        <v>730</v>
      </c>
      <c r="H3" s="49"/>
      <c r="I3" s="279" t="s">
        <v>728</v>
      </c>
    </row>
    <row r="4" spans="1:10" ht="45.75">
      <c r="A4" s="1" t="s">
        <v>722</v>
      </c>
      <c r="B4" t="s">
        <v>731</v>
      </c>
      <c r="C4" s="49" t="s">
        <v>30</v>
      </c>
      <c r="D4" t="s">
        <v>732</v>
      </c>
      <c r="E4" s="49" t="s">
        <v>30</v>
      </c>
      <c r="F4" s="49" t="s">
        <v>30</v>
      </c>
      <c r="G4" t="s">
        <v>733</v>
      </c>
      <c r="H4" s="1" t="s">
        <v>734</v>
      </c>
    </row>
    <row r="5" spans="1:10" s="277" customFormat="1" ht="244.5">
      <c r="A5" s="276" t="s">
        <v>722</v>
      </c>
      <c r="B5" s="277" t="s">
        <v>735</v>
      </c>
      <c r="C5" s="278" t="s">
        <v>30</v>
      </c>
      <c r="D5" s="276" t="s">
        <v>736</v>
      </c>
      <c r="E5" s="278" t="s">
        <v>30</v>
      </c>
      <c r="F5" s="278" t="s">
        <v>30</v>
      </c>
      <c r="G5" s="277" t="s">
        <v>737</v>
      </c>
      <c r="H5" s="284" t="s">
        <v>738</v>
      </c>
      <c r="I5" s="25" t="s">
        <v>739</v>
      </c>
    </row>
    <row r="6" spans="1:10" ht="290.25">
      <c r="A6" s="1" t="s">
        <v>18</v>
      </c>
      <c r="B6" t="s">
        <v>740</v>
      </c>
      <c r="C6" s="1" t="s">
        <v>741</v>
      </c>
      <c r="E6" s="1" t="s">
        <v>742</v>
      </c>
      <c r="F6" s="1" t="s">
        <v>743</v>
      </c>
      <c r="G6" t="s">
        <v>744</v>
      </c>
      <c r="I6" s="25" t="s">
        <v>745</v>
      </c>
    </row>
    <row r="7" spans="1:10" ht="45.75">
      <c r="A7" s="1" t="s">
        <v>18</v>
      </c>
      <c r="B7" t="s">
        <v>746</v>
      </c>
      <c r="H7" s="1" t="s">
        <v>747</v>
      </c>
      <c r="I7" s="25" t="s">
        <v>748</v>
      </c>
    </row>
    <row r="8" spans="1:10" s="108" customFormat="1" ht="137.25">
      <c r="A8" s="274" t="s">
        <v>18</v>
      </c>
      <c r="B8" s="108" t="s">
        <v>749</v>
      </c>
      <c r="C8" s="274" t="s">
        <v>750</v>
      </c>
      <c r="E8" s="274" t="s">
        <v>751</v>
      </c>
      <c r="G8" s="275">
        <v>550</v>
      </c>
      <c r="H8" s="274" t="s">
        <v>752</v>
      </c>
      <c r="I8" s="280" t="s">
        <v>753</v>
      </c>
      <c r="J8" s="108" t="s">
        <v>754</v>
      </c>
    </row>
    <row r="9" spans="1:10" ht="106.5">
      <c r="A9" s="1" t="s">
        <v>18</v>
      </c>
      <c r="B9" t="s">
        <v>755</v>
      </c>
      <c r="C9" s="1" t="s">
        <v>756</v>
      </c>
      <c r="H9" s="1" t="s">
        <v>757</v>
      </c>
      <c r="I9" s="25" t="s">
        <v>758</v>
      </c>
    </row>
    <row r="10" spans="1:10" ht="91.5">
      <c r="A10" s="1" t="s">
        <v>18</v>
      </c>
      <c r="B10" t="s">
        <v>755</v>
      </c>
      <c r="C10" s="1" t="s">
        <v>759</v>
      </c>
      <c r="H10" s="1" t="s">
        <v>757</v>
      </c>
      <c r="I10" s="25" t="s">
        <v>760</v>
      </c>
    </row>
    <row r="11" spans="1:10" s="282" customFormat="1" ht="91.5">
      <c r="A11" s="281" t="s">
        <v>761</v>
      </c>
      <c r="B11" s="282" t="s">
        <v>762</v>
      </c>
      <c r="C11" s="282" t="s">
        <v>30</v>
      </c>
      <c r="D11" s="281" t="s">
        <v>763</v>
      </c>
      <c r="E11" s="282" t="s">
        <v>30</v>
      </c>
      <c r="F11" s="282" t="s">
        <v>30</v>
      </c>
      <c r="G11" s="281" t="s">
        <v>764</v>
      </c>
      <c r="H11" s="281" t="s">
        <v>765</v>
      </c>
      <c r="I11" s="281"/>
    </row>
  </sheetData>
  <hyperlinks>
    <hyperlink ref="I2" r:id="rId1" xr:uid="{D3AF4437-BF65-41C0-9F28-420846863781}"/>
    <hyperlink ref="I3" r:id="rId2" xr:uid="{436FD436-1064-4C81-9E1C-A979A5086E9B}"/>
    <hyperlink ref="I6" r:id="rId3" xr:uid="{2B77BDDB-9192-47B1-8B8C-4526854FC191}"/>
    <hyperlink ref="I7" r:id="rId4" xr:uid="{6E3C953D-F59C-4273-8E08-980F7425EF17}"/>
    <hyperlink ref="I8" r:id="rId5" xr:uid="{90219EFD-01E9-46AB-A04C-55E4347C7ABB}"/>
    <hyperlink ref="I9" r:id="rId6" xr:uid="{D43269CC-5F30-4EB2-A2EC-93606BD707AB}"/>
    <hyperlink ref="I10" r:id="rId7" xr:uid="{A21628D3-7846-47D3-91F9-191454C15EA2}"/>
    <hyperlink ref="I5" r:id="rId8" xr:uid="{3B666219-D60F-4D5D-9150-2452370E41D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BA7F0-4D50-4CA8-940C-615B2A8AE842}">
  <dimension ref="A1:V35"/>
  <sheetViews>
    <sheetView workbookViewId="0">
      <pane xSplit="4" ySplit="1" topLeftCell="E32" activePane="bottomRight" state="frozen"/>
      <selection pane="bottomRight" activeCell="G35" sqref="G35"/>
      <selection pane="bottomLeft"/>
      <selection pane="topRight"/>
    </sheetView>
  </sheetViews>
  <sheetFormatPr defaultRowHeight="15"/>
  <cols>
    <col min="1" max="1" width="12.7109375" style="24" customWidth="1"/>
    <col min="2" max="2" width="42.5703125" style="49" hidden="1" customWidth="1"/>
    <col min="3" max="3" width="38" style="49" hidden="1" customWidth="1"/>
    <col min="4" max="4" width="39.42578125" style="49" hidden="1" customWidth="1"/>
    <col min="5" max="5" width="46.28515625" style="106" customWidth="1"/>
    <col min="6" max="6" width="46.140625" style="106" customWidth="1"/>
    <col min="7" max="7" width="12" style="106" bestFit="1" customWidth="1"/>
    <col min="8" max="8" width="9.42578125" style="106" bestFit="1" customWidth="1"/>
    <col min="9" max="9" width="9.140625" style="106"/>
    <col min="10" max="10" width="9.7109375" style="106" customWidth="1"/>
    <col min="11" max="11" width="9.140625" style="106" bestFit="1" customWidth="1"/>
    <col min="12" max="12" width="13.5703125" style="106" bestFit="1" customWidth="1"/>
    <col min="13" max="13" width="11.7109375" style="106" bestFit="1" customWidth="1"/>
    <col min="14" max="22" width="9.140625" style="106"/>
  </cols>
  <sheetData>
    <row r="1" spans="1:22">
      <c r="B1" s="123"/>
      <c r="C1" s="123" t="s">
        <v>766</v>
      </c>
      <c r="D1" s="123" t="s">
        <v>767</v>
      </c>
      <c r="E1" s="111" t="s">
        <v>768</v>
      </c>
      <c r="F1" s="111" t="s">
        <v>769</v>
      </c>
      <c r="G1" s="111" t="s">
        <v>770</v>
      </c>
      <c r="H1" s="111" t="s">
        <v>310</v>
      </c>
      <c r="I1" s="111" t="s">
        <v>705</v>
      </c>
      <c r="J1" s="111" t="s">
        <v>771</v>
      </c>
      <c r="K1" s="111" t="s">
        <v>772</v>
      </c>
      <c r="L1" s="111" t="s">
        <v>773</v>
      </c>
      <c r="M1" s="111" t="s">
        <v>310</v>
      </c>
      <c r="N1" s="111" t="s">
        <v>316</v>
      </c>
      <c r="O1" s="111" t="s">
        <v>774</v>
      </c>
    </row>
    <row r="2" spans="1:22" s="108" customFormat="1">
      <c r="A2" s="151" t="s">
        <v>775</v>
      </c>
      <c r="B2" s="152"/>
      <c r="C2" s="152"/>
      <c r="D2" s="125" t="s">
        <v>776</v>
      </c>
      <c r="E2" s="153"/>
      <c r="F2" s="153"/>
      <c r="G2" s="153"/>
      <c r="H2" s="153"/>
      <c r="I2" s="153"/>
      <c r="J2" s="153"/>
      <c r="K2" s="110"/>
      <c r="L2" s="110"/>
      <c r="M2" s="110"/>
      <c r="N2" s="110"/>
      <c r="O2" s="110"/>
      <c r="P2" s="110"/>
      <c r="Q2" s="110"/>
      <c r="R2" s="110"/>
      <c r="S2" s="110"/>
      <c r="T2" s="110"/>
      <c r="U2" s="110"/>
      <c r="V2" s="110"/>
    </row>
    <row r="3" spans="1:22" ht="270">
      <c r="A3" s="24" t="s">
        <v>777</v>
      </c>
      <c r="E3" s="358" t="s">
        <v>778</v>
      </c>
      <c r="F3" s="43" t="s">
        <v>779</v>
      </c>
      <c r="H3" s="106" t="s">
        <v>780</v>
      </c>
      <c r="I3" s="106" t="s">
        <v>780</v>
      </c>
      <c r="J3" s="106" t="s">
        <v>780</v>
      </c>
      <c r="K3" s="106" t="s">
        <v>780</v>
      </c>
      <c r="M3" s="106" t="s">
        <v>780</v>
      </c>
      <c r="N3" s="106" t="s">
        <v>780</v>
      </c>
    </row>
    <row r="4" spans="1:22" ht="30">
      <c r="A4" s="24" t="s">
        <v>781</v>
      </c>
      <c r="E4" s="86" t="s">
        <v>782</v>
      </c>
      <c r="F4" s="43" t="s">
        <v>783</v>
      </c>
      <c r="J4" s="106" t="s">
        <v>780</v>
      </c>
    </row>
    <row r="5" spans="1:22" ht="45">
      <c r="A5" s="24" t="s">
        <v>784</v>
      </c>
      <c r="F5" s="43" t="s">
        <v>785</v>
      </c>
      <c r="L5" s="106" t="s">
        <v>780</v>
      </c>
    </row>
    <row r="6" spans="1:22" ht="105">
      <c r="A6" s="24" t="s">
        <v>786</v>
      </c>
      <c r="B6" s="350"/>
      <c r="E6" s="358" t="s">
        <v>787</v>
      </c>
      <c r="F6" s="43" t="s">
        <v>788</v>
      </c>
      <c r="I6" s="106" t="s">
        <v>780</v>
      </c>
      <c r="J6" s="106" t="s">
        <v>780</v>
      </c>
      <c r="N6" s="106" t="s">
        <v>780</v>
      </c>
      <c r="O6" s="106" t="s">
        <v>780</v>
      </c>
    </row>
    <row r="7" spans="1:22" ht="45">
      <c r="A7" s="24" t="s">
        <v>789</v>
      </c>
      <c r="E7" s="43" t="s">
        <v>790</v>
      </c>
      <c r="F7" s="43" t="s">
        <v>791</v>
      </c>
    </row>
    <row r="8" spans="1:22" ht="45">
      <c r="A8" s="24" t="s">
        <v>387</v>
      </c>
      <c r="F8" s="43" t="s">
        <v>792</v>
      </c>
    </row>
    <row r="9" spans="1:22" ht="60">
      <c r="A9" s="24" t="s">
        <v>793</v>
      </c>
      <c r="E9" s="62" t="s">
        <v>794</v>
      </c>
      <c r="F9" s="43" t="s">
        <v>795</v>
      </c>
      <c r="J9" s="106" t="s">
        <v>780</v>
      </c>
    </row>
    <row r="10" spans="1:22" ht="150.75" customHeight="1">
      <c r="A10" s="24" t="s">
        <v>796</v>
      </c>
      <c r="C10" s="124"/>
      <c r="E10" s="112" t="s">
        <v>797</v>
      </c>
      <c r="F10" s="112"/>
      <c r="G10" s="106" t="s">
        <v>780</v>
      </c>
      <c r="L10" s="106" t="s">
        <v>780</v>
      </c>
    </row>
    <row r="11" spans="1:22" ht="30">
      <c r="A11" s="24" t="s">
        <v>798</v>
      </c>
      <c r="E11" s="106" t="s">
        <v>799</v>
      </c>
      <c r="F11" s="43" t="s">
        <v>800</v>
      </c>
    </row>
    <row r="12" spans="1:22" ht="150">
      <c r="A12" s="24" t="s">
        <v>801</v>
      </c>
      <c r="E12" s="49" t="s">
        <v>802</v>
      </c>
      <c r="F12" s="49" t="s">
        <v>803</v>
      </c>
    </row>
    <row r="13" spans="1:22" s="108" customFormat="1" ht="48" customHeight="1">
      <c r="A13" s="154" t="s">
        <v>804</v>
      </c>
      <c r="B13" s="125"/>
      <c r="C13" s="125"/>
      <c r="D13" s="155"/>
      <c r="E13" s="156" t="s">
        <v>805</v>
      </c>
      <c r="F13" s="156" t="s">
        <v>806</v>
      </c>
      <c r="G13" s="110"/>
      <c r="H13" s="110"/>
      <c r="I13" s="110"/>
      <c r="J13" s="110" t="s">
        <v>780</v>
      </c>
      <c r="K13" s="110"/>
      <c r="L13" s="110"/>
      <c r="M13" s="110"/>
      <c r="N13" s="110"/>
      <c r="O13" s="110"/>
      <c r="P13" s="110"/>
      <c r="Q13" s="110"/>
      <c r="R13" s="110"/>
      <c r="S13" s="110"/>
      <c r="T13" s="110"/>
      <c r="U13" s="110"/>
      <c r="V13" s="110"/>
    </row>
    <row r="14" spans="1:22">
      <c r="A14" s="24" t="s">
        <v>807</v>
      </c>
      <c r="F14" s="43" t="s">
        <v>808</v>
      </c>
    </row>
    <row r="15" spans="1:22" ht="60">
      <c r="A15" s="24" t="s">
        <v>809</v>
      </c>
      <c r="E15" s="43" t="s">
        <v>810</v>
      </c>
      <c r="F15" s="358" t="s">
        <v>811</v>
      </c>
    </row>
    <row r="16" spans="1:22" ht="225">
      <c r="A16" s="24" t="s">
        <v>812</v>
      </c>
      <c r="E16" s="43"/>
      <c r="F16" s="358" t="s">
        <v>813</v>
      </c>
      <c r="I16" s="106" t="s">
        <v>780</v>
      </c>
      <c r="J16" s="106" t="s">
        <v>780</v>
      </c>
    </row>
    <row r="17" spans="1:22" ht="75">
      <c r="A17" s="24" t="s">
        <v>814</v>
      </c>
      <c r="E17" s="358" t="s">
        <v>815</v>
      </c>
      <c r="F17" s="43"/>
      <c r="J17" s="106" t="s">
        <v>816</v>
      </c>
      <c r="K17" s="106" t="s">
        <v>817</v>
      </c>
    </row>
    <row r="18" spans="1:22" ht="30">
      <c r="A18" s="24" t="s">
        <v>818</v>
      </c>
      <c r="E18" s="43" t="s">
        <v>819</v>
      </c>
      <c r="F18" s="43" t="s">
        <v>820</v>
      </c>
      <c r="J18" s="106" t="s">
        <v>780</v>
      </c>
      <c r="L18" s="106" t="s">
        <v>780</v>
      </c>
    </row>
    <row r="19" spans="1:22" ht="105" customHeight="1">
      <c r="A19" s="24" t="s">
        <v>821</v>
      </c>
      <c r="E19" s="358" t="s">
        <v>822</v>
      </c>
      <c r="F19" s="43" t="s">
        <v>823</v>
      </c>
    </row>
    <row r="20" spans="1:22" ht="30">
      <c r="A20" s="24" t="s">
        <v>824</v>
      </c>
      <c r="E20" s="49" t="s">
        <v>825</v>
      </c>
      <c r="F20" s="43"/>
    </row>
    <row r="21" spans="1:22" s="108" customFormat="1" ht="48.75" customHeight="1">
      <c r="A21" s="154" t="s">
        <v>826</v>
      </c>
      <c r="B21" s="125" t="s">
        <v>827</v>
      </c>
      <c r="C21" s="125"/>
      <c r="D21" s="125" t="s">
        <v>776</v>
      </c>
      <c r="E21" s="110"/>
      <c r="F21" s="110"/>
      <c r="G21" s="110"/>
      <c r="H21" s="110"/>
      <c r="I21" s="110"/>
      <c r="J21" s="110"/>
      <c r="K21" s="110"/>
      <c r="L21" s="110"/>
      <c r="M21" s="110"/>
      <c r="N21" s="110"/>
      <c r="O21" s="110"/>
      <c r="P21" s="110"/>
      <c r="Q21" s="110"/>
      <c r="R21" s="110"/>
      <c r="S21" s="110"/>
      <c r="T21" s="110"/>
      <c r="U21" s="110"/>
      <c r="V21" s="110"/>
    </row>
    <row r="22" spans="1:22" ht="120">
      <c r="A22" s="24" t="s">
        <v>828</v>
      </c>
      <c r="E22" s="358" t="s">
        <v>829</v>
      </c>
      <c r="F22" s="43" t="s">
        <v>830</v>
      </c>
      <c r="H22" s="106" t="s">
        <v>780</v>
      </c>
      <c r="J22" s="106" t="s">
        <v>780</v>
      </c>
    </row>
    <row r="23" spans="1:22" ht="210">
      <c r="A23" s="24" t="s">
        <v>831</v>
      </c>
      <c r="E23" s="49" t="s">
        <v>832</v>
      </c>
      <c r="F23" s="43" t="s">
        <v>833</v>
      </c>
      <c r="G23" s="106" t="s">
        <v>817</v>
      </c>
      <c r="I23" s="106" t="s">
        <v>817</v>
      </c>
      <c r="J23" s="106" t="s">
        <v>780</v>
      </c>
      <c r="L23" s="106" t="s">
        <v>780</v>
      </c>
    </row>
    <row r="24" spans="1:22" ht="60">
      <c r="A24" s="24" t="s">
        <v>834</v>
      </c>
      <c r="B24" s="126"/>
      <c r="E24" s="359" t="s">
        <v>835</v>
      </c>
      <c r="F24" s="43"/>
      <c r="J24" s="106" t="s">
        <v>817</v>
      </c>
    </row>
    <row r="25" spans="1:22" ht="150">
      <c r="A25" s="24" t="s">
        <v>836</v>
      </c>
      <c r="E25" s="358" t="s">
        <v>837</v>
      </c>
    </row>
    <row r="26" spans="1:22">
      <c r="A26" s="24" t="s">
        <v>838</v>
      </c>
      <c r="E26" s="106" t="s">
        <v>839</v>
      </c>
      <c r="F26" s="106" t="s">
        <v>839</v>
      </c>
    </row>
    <row r="27" spans="1:22" ht="135">
      <c r="A27" s="24" t="s">
        <v>840</v>
      </c>
      <c r="E27" s="43" t="s">
        <v>841</v>
      </c>
      <c r="F27" s="43" t="s">
        <v>842</v>
      </c>
      <c r="I27" s="106" t="s">
        <v>780</v>
      </c>
    </row>
    <row r="28" spans="1:22" ht="135">
      <c r="A28" s="24" t="s">
        <v>843</v>
      </c>
      <c r="E28" s="358" t="s">
        <v>844</v>
      </c>
      <c r="F28" s="43" t="s">
        <v>845</v>
      </c>
      <c r="J28" s="106" t="s">
        <v>816</v>
      </c>
      <c r="K28" s="106" t="s">
        <v>817</v>
      </c>
    </row>
    <row r="29" spans="1:22" ht="45">
      <c r="A29" s="24" t="s">
        <v>382</v>
      </c>
      <c r="F29" s="43" t="s">
        <v>846</v>
      </c>
    </row>
    <row r="30" spans="1:22" ht="30">
      <c r="A30" s="107" t="s">
        <v>847</v>
      </c>
      <c r="F30" s="109" t="s">
        <v>848</v>
      </c>
    </row>
    <row r="31" spans="1:22" s="108" customFormat="1" ht="45">
      <c r="A31" s="154" t="s">
        <v>849</v>
      </c>
      <c r="B31" s="125"/>
      <c r="C31" s="125"/>
      <c r="D31" s="125"/>
      <c r="E31" s="156" t="s">
        <v>850</v>
      </c>
      <c r="F31" s="156" t="s">
        <v>851</v>
      </c>
      <c r="G31" s="110"/>
      <c r="H31" s="110" t="s">
        <v>852</v>
      </c>
      <c r="I31" s="110"/>
      <c r="J31" s="110"/>
      <c r="K31" s="110"/>
      <c r="L31" s="110"/>
      <c r="M31" s="110"/>
      <c r="N31" s="110"/>
      <c r="O31" s="110"/>
      <c r="P31" s="110"/>
      <c r="Q31" s="110"/>
      <c r="R31" s="110"/>
      <c r="S31" s="110"/>
      <c r="T31" s="110"/>
      <c r="U31" s="110"/>
      <c r="V31" s="110"/>
    </row>
    <row r="32" spans="1:22" ht="150">
      <c r="A32" s="24" t="s">
        <v>853</v>
      </c>
      <c r="E32" s="358" t="s">
        <v>854</v>
      </c>
      <c r="F32" s="43" t="s">
        <v>855</v>
      </c>
    </row>
    <row r="33" spans="1:10" ht="60">
      <c r="A33" s="24" t="s">
        <v>856</v>
      </c>
      <c r="E33" s="49" t="s">
        <v>857</v>
      </c>
    </row>
    <row r="34" spans="1:10">
      <c r="A34" s="24" t="s">
        <v>858</v>
      </c>
      <c r="E34" s="106" t="s">
        <v>277</v>
      </c>
      <c r="J34" s="106" t="s">
        <v>780</v>
      </c>
    </row>
    <row r="35" spans="1:10" ht="60">
      <c r="A35" s="24" t="s">
        <v>859</v>
      </c>
      <c r="E35" s="43" t="s">
        <v>860</v>
      </c>
    </row>
  </sheetData>
  <autoFilter ref="A1:V1" xr:uid="{B3BBA7F0-4D50-4CA8-940C-615B2A8AE84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835633c-2612-43ab-b060-15d7e93e5689">
      <Terms xmlns="http://schemas.microsoft.com/office/infopath/2007/PartnerControls"/>
    </lcf76f155ced4ddcb4097134ff3c332f>
    <TaxCatchAll xmlns="fe366743-a504-4d9c-957a-1a96f0c2821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67A58568DD0F4449F75C2AAAE3850EE" ma:contentTypeVersion="14" ma:contentTypeDescription="Creare un nuovo documento." ma:contentTypeScope="" ma:versionID="dbd8ab5aa2f07710cf01b594d2817780">
  <xsd:schema xmlns:xsd="http://www.w3.org/2001/XMLSchema" xmlns:xs="http://www.w3.org/2001/XMLSchema" xmlns:p="http://schemas.microsoft.com/office/2006/metadata/properties" xmlns:ns2="fe366743-a504-4d9c-957a-1a96f0c28211" xmlns:ns3="c835633c-2612-43ab-b060-15d7e93e5689" targetNamespace="http://schemas.microsoft.com/office/2006/metadata/properties" ma:root="true" ma:fieldsID="450a7a7d155df381f515567e14d7ee82" ns2:_="" ns3:_="">
    <xsd:import namespace="fe366743-a504-4d9c-957a-1a96f0c28211"/>
    <xsd:import namespace="c835633c-2612-43ab-b060-15d7e93e5689"/>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Location" minOccurs="0"/>
                <xsd:element ref="ns3:MediaServiceBillingMetadata"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366743-a504-4d9c-957a-1a96f0c28211"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a99cd4d8-b159-4e6b-b112-79ac996eeb4f}" ma:internalName="TaxCatchAll" ma:showField="CatchAllData" ma:web="fe366743-a504-4d9c-957a-1a96f0c2821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835633c-2612-43ab-b060-15d7e93e5689"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Tag immagine" ma:readOnly="false" ma:fieldId="{5cf76f15-5ced-4ddc-b409-7134ff3c332f}" ma:taxonomyMulti="true" ma:sspId="0ff7a4f1-98ed-4b80-a114-1d0efd1d56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E9136-0BE8-4580-AC20-2710FAEF38F6}"/>
</file>

<file path=customXml/itemProps2.xml><?xml version="1.0" encoding="utf-8"?>
<ds:datastoreItem xmlns:ds="http://schemas.openxmlformats.org/officeDocument/2006/customXml" ds:itemID="{70FD6FAA-1F57-4710-A3BF-4436AC0B8E0D}"/>
</file>

<file path=customXml/itemProps3.xml><?xml version="1.0" encoding="utf-8"?>
<ds:datastoreItem xmlns:ds="http://schemas.openxmlformats.org/officeDocument/2006/customXml" ds:itemID="{4817996B-CB0E-45B6-81FE-E49FFC34646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2026-03-26T17:38:03Z</dcterms:created>
  <dcterms:modified xsi:type="dcterms:W3CDTF">2026-08-30T03:28:55Z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0x010100567A58568DD0F4449F75C2AAAE3850EE</vt:lpwstr>
  </property>
  <property fmtid="{D5CDD505-2E9C-101B-9397-08002B2CF9AE}" pid="3" name="MediaServiceImageTags">
    <vt:lpwstr/>
  </property>
</Properties>
</file>